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a\Desktop\THE\II. félév\Operációs rendszerek\Fájlok_0327\"/>
    </mc:Choice>
  </mc:AlternateContent>
  <xr:revisionPtr revIDLastSave="0" documentId="13_ncr:1_{5CE089B9-7BC6-4FC8-957B-A3268EA0F391}" xr6:coauthVersionLast="47" xr6:coauthVersionMax="47" xr10:uidLastSave="{00000000-0000-0000-0000-000000000000}"/>
  <bookViews>
    <workbookView xWindow="12120" yWindow="1140" windowWidth="14520" windowHeight="14340" activeTab="3" xr2:uid="{B56FD214-4777-4AD9-A46C-0AC025401170}"/>
  </bookViews>
  <sheets>
    <sheet name="FCFS" sheetId="1" r:id="rId1"/>
    <sheet name="SJF" sheetId="2" r:id="rId2"/>
    <sheet name="RR" sheetId="3" r:id="rId3"/>
    <sheet name="3. Ta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3" l="1"/>
  <c r="C23" i="3"/>
  <c r="C22" i="3"/>
  <c r="B15" i="3"/>
  <c r="C14" i="3"/>
  <c r="B14" i="3"/>
  <c r="C24" i="2"/>
  <c r="C23" i="2"/>
  <c r="C22" i="2"/>
  <c r="C14" i="2"/>
  <c r="B14" i="2"/>
  <c r="C21" i="2"/>
  <c r="F15" i="3"/>
  <c r="E15" i="3"/>
  <c r="D15" i="3"/>
  <c r="C15" i="3"/>
  <c r="F14" i="3"/>
  <c r="E14" i="3"/>
  <c r="D14" i="3"/>
  <c r="F15" i="2"/>
  <c r="E15" i="2"/>
  <c r="D15" i="2"/>
  <c r="C15" i="2"/>
  <c r="B15" i="2"/>
  <c r="F14" i="2"/>
  <c r="E14" i="2"/>
  <c r="D14" i="2"/>
  <c r="C24" i="1"/>
  <c r="C15" i="1"/>
  <c r="D15" i="1"/>
  <c r="E15" i="1"/>
  <c r="F15" i="1"/>
  <c r="B15" i="1"/>
  <c r="C14" i="1"/>
  <c r="D14" i="1"/>
  <c r="E14" i="1"/>
  <c r="F14" i="1"/>
  <c r="B14" i="1"/>
  <c r="C23" i="1"/>
  <c r="C21" i="1"/>
  <c r="C22" i="1" l="1"/>
</calcChain>
</file>

<file path=xl/sharedStrings.xml><?xml version="1.0" encoding="utf-8"?>
<sst xmlns="http://schemas.openxmlformats.org/spreadsheetml/2006/main" count="93" uniqueCount="31">
  <si>
    <t>First Come First Serve FCFS</t>
  </si>
  <si>
    <t>Érkezési sorrendben</t>
  </si>
  <si>
    <t>FCFS</t>
  </si>
  <si>
    <t>Érkezés</t>
  </si>
  <si>
    <t>CPU idő</t>
  </si>
  <si>
    <t>Indulás</t>
  </si>
  <si>
    <t>Befejezés</t>
  </si>
  <si>
    <t>Várakozás</t>
  </si>
  <si>
    <t>P1</t>
  </si>
  <si>
    <t>P2</t>
  </si>
  <si>
    <t>P3</t>
  </si>
  <si>
    <t>P4</t>
  </si>
  <si>
    <t>P5</t>
  </si>
  <si>
    <t>Befejezés= indulás + CPU idő</t>
  </si>
  <si>
    <t>Várakozás= indulás - érkezés</t>
  </si>
  <si>
    <t>P1 - P2 -  P3 - P4 - P5</t>
  </si>
  <si>
    <t>Végrehajtási sorrend:</t>
  </si>
  <si>
    <t>A legkisebb CPU időt igénylő az első</t>
  </si>
  <si>
    <t>Shortest Job First  SJF</t>
  </si>
  <si>
    <t>P1 - P3 - P2 - P5 - P4</t>
  </si>
  <si>
    <t>Round Robin RR</t>
  </si>
  <si>
    <t>Minden processz kap egy kis időt, aztán váltunk a következőre: 5ms</t>
  </si>
  <si>
    <t>P1 - P2 - P3 - P2 - P4 - P5 - P4</t>
  </si>
  <si>
    <t>A 2. Task adatait felhasználva készítse el a feladatot!
Határozza meg a FCFS, SJF, RR: időszelet: 5ms algoritmusok esetén az alábbi teljesítmény jellemzőket:
a)	CPU kihasználtság.
b)	Körülfordulási idő átlaga.
c)	Várakozási idő átlaga.
d)	Válasz idő átlaga.
Megj: az FCFS és SJF esetén a CS és az ütemezési alg. idő: 0.1 ms</t>
  </si>
  <si>
    <t>Ütemező algorritmus neve</t>
  </si>
  <si>
    <t>CPU kihasználtsága</t>
  </si>
  <si>
    <t>Körülfordulási idők átlaga</t>
  </si>
  <si>
    <t>Várakozási idők átlaga</t>
  </si>
  <si>
    <t>Válaszidők átlaga</t>
  </si>
  <si>
    <t>Körülfordulási idő</t>
  </si>
  <si>
    <t>Válaszidő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</si>
</sst>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" borderId="14" xfId="0" applyFill="1" applyBorder="1"/>
    <xf numFmtId="0" fontId="0" fillId="3" borderId="0" xfId="0" applyFill="1"/>
    <xf numFmtId="0" fontId="4" fillId="0" borderId="1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3" borderId="15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3" borderId="22" xfId="0" applyFill="1" applyBorder="1"/>
    <xf numFmtId="0" fontId="0" fillId="0" borderId="23" xfId="0" applyBorder="1"/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F750-2048-4CD5-8C73-25E409A2B809}">
  <dimension ref="A1:BC24"/>
  <sheetViews>
    <sheetView zoomScaleNormal="100" workbookViewId="0">
      <selection activeCell="N22" sqref="N22"/>
    </sheetView>
  </sheetViews>
  <sheetFormatPr defaultRowHeight="15" x14ac:dyDescent="0.25"/>
  <cols>
    <col min="1" max="1" width="21.140625" customWidth="1"/>
    <col min="2" max="2" width="9.140625" customWidth="1"/>
    <col min="9" max="48" width="3.7109375" customWidth="1"/>
  </cols>
  <sheetData>
    <row r="1" spans="1:47" x14ac:dyDescent="0.25">
      <c r="A1" s="38" t="s">
        <v>0</v>
      </c>
      <c r="B1" s="38"/>
      <c r="C1" s="38"/>
      <c r="D1" s="38"/>
      <c r="E1" s="38"/>
      <c r="F1" s="38"/>
    </row>
    <row r="2" spans="1:47" x14ac:dyDescent="0.25">
      <c r="A2" s="2"/>
      <c r="B2" s="2"/>
      <c r="C2" s="2"/>
      <c r="D2" s="2"/>
      <c r="E2" s="2"/>
      <c r="F2" s="2"/>
    </row>
    <row r="3" spans="1:47" x14ac:dyDescent="0.25">
      <c r="A3" s="39" t="s">
        <v>1</v>
      </c>
      <c r="B3" s="39"/>
      <c r="C3" s="39"/>
      <c r="D3" s="39"/>
      <c r="E3" s="39"/>
      <c r="F3" s="39"/>
    </row>
    <row r="4" spans="1:47" x14ac:dyDescent="0.25">
      <c r="A4" s="3"/>
      <c r="B4" s="39" t="s">
        <v>13</v>
      </c>
      <c r="C4" s="39"/>
      <c r="D4" s="39"/>
      <c r="E4" s="39"/>
      <c r="F4" s="39"/>
    </row>
    <row r="5" spans="1:47" x14ac:dyDescent="0.25">
      <c r="A5" s="3"/>
      <c r="B5" s="39" t="s">
        <v>14</v>
      </c>
      <c r="C5" s="39"/>
      <c r="D5" s="39"/>
      <c r="E5" s="39"/>
      <c r="F5" s="39"/>
    </row>
    <row r="6" spans="1:47" x14ac:dyDescent="0.25">
      <c r="A6" s="3"/>
      <c r="B6" s="3"/>
      <c r="C6" s="3"/>
      <c r="D6" s="3"/>
      <c r="E6" s="3"/>
      <c r="F6" s="3"/>
    </row>
    <row r="7" spans="1:47" ht="15.75" thickBot="1" x14ac:dyDescent="0.3">
      <c r="A7" s="1"/>
      <c r="B7" s="1"/>
      <c r="C7" s="1"/>
      <c r="D7" s="1"/>
      <c r="E7" s="1"/>
      <c r="F7" s="1"/>
    </row>
    <row r="8" spans="1:47" ht="15.75" thickBot="1" x14ac:dyDescent="0.3">
      <c r="A8" s="7" t="s">
        <v>2</v>
      </c>
      <c r="B8" s="7" t="s">
        <v>8</v>
      </c>
      <c r="C8" s="7" t="s">
        <v>9</v>
      </c>
      <c r="D8" s="5" t="s">
        <v>10</v>
      </c>
      <c r="E8" s="5" t="s">
        <v>11</v>
      </c>
      <c r="F8" s="6" t="s">
        <v>12</v>
      </c>
      <c r="H8" s="27" t="s">
        <v>8</v>
      </c>
      <c r="I8" s="30"/>
      <c r="J8" s="31"/>
      <c r="K8" s="32"/>
    </row>
    <row r="9" spans="1:47" x14ac:dyDescent="0.25">
      <c r="A9" s="8" t="s">
        <v>3</v>
      </c>
      <c r="B9" s="11">
        <v>0</v>
      </c>
      <c r="C9" s="12">
        <v>1</v>
      </c>
      <c r="D9" s="11">
        <v>3</v>
      </c>
      <c r="E9" s="11">
        <v>9</v>
      </c>
      <c r="F9" s="11">
        <v>12</v>
      </c>
      <c r="H9" s="27" t="s">
        <v>9</v>
      </c>
      <c r="I9" s="25"/>
      <c r="J9" s="26"/>
      <c r="K9" s="26"/>
      <c r="L9" s="30"/>
      <c r="M9" s="31"/>
      <c r="N9" s="31"/>
      <c r="O9" s="31"/>
      <c r="P9" s="31"/>
      <c r="Q9" s="31"/>
      <c r="R9" s="31"/>
      <c r="S9" s="32"/>
    </row>
    <row r="10" spans="1:47" x14ac:dyDescent="0.25">
      <c r="A10" s="9" t="s">
        <v>4</v>
      </c>
      <c r="B10" s="13">
        <v>3</v>
      </c>
      <c r="C10" s="14">
        <v>8</v>
      </c>
      <c r="D10" s="13">
        <v>2</v>
      </c>
      <c r="E10" s="13">
        <v>20</v>
      </c>
      <c r="F10" s="13">
        <v>5</v>
      </c>
      <c r="H10" s="27" t="s">
        <v>10</v>
      </c>
      <c r="I10" s="22"/>
      <c r="L10" s="26"/>
      <c r="M10" s="26"/>
      <c r="N10" s="26"/>
      <c r="O10" s="26"/>
      <c r="P10" s="26"/>
      <c r="Q10" s="26"/>
      <c r="R10" s="26"/>
      <c r="S10" s="33"/>
      <c r="T10" s="30"/>
      <c r="U10" s="32"/>
    </row>
    <row r="11" spans="1:47" ht="15.75" thickBot="1" x14ac:dyDescent="0.3">
      <c r="A11" s="10" t="s">
        <v>5</v>
      </c>
      <c r="B11" s="15">
        <v>0</v>
      </c>
      <c r="C11" s="16">
        <v>3</v>
      </c>
      <c r="D11" s="15">
        <v>11</v>
      </c>
      <c r="E11" s="15">
        <v>13</v>
      </c>
      <c r="F11" s="15">
        <v>33</v>
      </c>
      <c r="H11" s="27" t="s">
        <v>11</v>
      </c>
      <c r="I11" s="22"/>
      <c r="R11" s="26"/>
      <c r="S11" s="26"/>
      <c r="T11" s="26"/>
      <c r="U11" s="26"/>
      <c r="V11" s="30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2"/>
    </row>
    <row r="12" spans="1:47" ht="15.75" thickBot="1" x14ac:dyDescent="0.3">
      <c r="A12" s="9" t="s">
        <v>6</v>
      </c>
      <c r="B12" s="18">
        <v>3</v>
      </c>
      <c r="C12" s="19">
        <v>11</v>
      </c>
      <c r="D12" s="18">
        <v>13</v>
      </c>
      <c r="E12" s="18">
        <v>33</v>
      </c>
      <c r="F12" s="18">
        <v>38</v>
      </c>
      <c r="H12" s="28" t="s">
        <v>12</v>
      </c>
      <c r="I12" s="2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30"/>
      <c r="AQ12" s="31"/>
      <c r="AR12" s="31"/>
      <c r="AS12" s="31"/>
      <c r="AT12" s="32"/>
      <c r="AU12" s="23"/>
    </row>
    <row r="13" spans="1:47" ht="15.75" thickBot="1" x14ac:dyDescent="0.3">
      <c r="A13" s="10" t="s">
        <v>7</v>
      </c>
      <c r="B13" s="20">
        <v>0</v>
      </c>
      <c r="C13" s="21">
        <v>2</v>
      </c>
      <c r="D13" s="20">
        <v>8</v>
      </c>
      <c r="E13" s="20">
        <v>4</v>
      </c>
      <c r="F13" s="20">
        <v>21</v>
      </c>
      <c r="I13" s="22">
        <v>0</v>
      </c>
      <c r="J13">
        <v>1</v>
      </c>
      <c r="K13" s="22">
        <v>2</v>
      </c>
      <c r="L13">
        <v>3</v>
      </c>
      <c r="M13" s="22">
        <v>4</v>
      </c>
      <c r="N13">
        <v>5</v>
      </c>
      <c r="O13" s="22">
        <v>6</v>
      </c>
      <c r="P13">
        <v>7</v>
      </c>
      <c r="Q13" s="22">
        <v>8</v>
      </c>
      <c r="R13">
        <v>9</v>
      </c>
      <c r="S13" s="22">
        <v>10</v>
      </c>
      <c r="T13">
        <v>11</v>
      </c>
      <c r="U13" s="22">
        <v>12</v>
      </c>
      <c r="V13">
        <v>13</v>
      </c>
      <c r="W13" s="22">
        <v>14</v>
      </c>
      <c r="X13">
        <v>15</v>
      </c>
      <c r="Y13" s="22">
        <v>16</v>
      </c>
      <c r="Z13">
        <v>17</v>
      </c>
      <c r="AA13" s="22">
        <v>18</v>
      </c>
      <c r="AB13">
        <v>19</v>
      </c>
      <c r="AC13" s="22">
        <v>20</v>
      </c>
      <c r="AD13" s="22">
        <v>21</v>
      </c>
      <c r="AE13">
        <v>22</v>
      </c>
      <c r="AF13" s="22">
        <v>23</v>
      </c>
      <c r="AG13" s="22">
        <v>24</v>
      </c>
      <c r="AH13">
        <v>25</v>
      </c>
      <c r="AI13" s="22">
        <v>26</v>
      </c>
      <c r="AJ13" s="22">
        <v>27</v>
      </c>
      <c r="AK13">
        <v>28</v>
      </c>
      <c r="AL13" s="22">
        <v>29</v>
      </c>
      <c r="AM13">
        <v>30</v>
      </c>
      <c r="AN13" s="22">
        <v>31</v>
      </c>
      <c r="AO13" s="22">
        <v>32</v>
      </c>
      <c r="AP13">
        <v>33</v>
      </c>
      <c r="AQ13" s="22">
        <v>34</v>
      </c>
      <c r="AR13" s="22">
        <v>35</v>
      </c>
      <c r="AS13">
        <v>36</v>
      </c>
      <c r="AT13" s="22">
        <v>37</v>
      </c>
      <c r="AU13" s="22">
        <v>38</v>
      </c>
    </row>
    <row r="14" spans="1:47" ht="15.75" thickBot="1" x14ac:dyDescent="0.3">
      <c r="A14" s="4" t="s">
        <v>29</v>
      </c>
      <c r="B14" s="17">
        <f>B12-B9</f>
        <v>3</v>
      </c>
      <c r="C14" s="17">
        <f t="shared" ref="C14:F14" si="0">C12-C9</f>
        <v>10</v>
      </c>
      <c r="D14" s="17">
        <f t="shared" si="0"/>
        <v>10</v>
      </c>
      <c r="E14" s="17">
        <f t="shared" si="0"/>
        <v>24</v>
      </c>
      <c r="F14" s="17">
        <f t="shared" si="0"/>
        <v>26</v>
      </c>
    </row>
    <row r="15" spans="1:47" ht="15.75" thickBot="1" x14ac:dyDescent="0.3">
      <c r="A15" s="4" t="s">
        <v>30</v>
      </c>
      <c r="B15" s="17">
        <f>B11-B9</f>
        <v>0</v>
      </c>
      <c r="C15" s="17">
        <f t="shared" ref="C15:F15" si="1">C11-C9</f>
        <v>2</v>
      </c>
      <c r="D15" s="17">
        <f t="shared" si="1"/>
        <v>8</v>
      </c>
      <c r="E15" s="17">
        <f t="shared" si="1"/>
        <v>4</v>
      </c>
      <c r="F15" s="17">
        <f t="shared" si="1"/>
        <v>21</v>
      </c>
    </row>
    <row r="16" spans="1:47" x14ac:dyDescent="0.25">
      <c r="A16" s="41" t="s">
        <v>16</v>
      </c>
      <c r="B16" s="41"/>
      <c r="C16" s="41"/>
    </row>
    <row r="17" spans="1:55" x14ac:dyDescent="0.25">
      <c r="A17" s="40" t="s">
        <v>15</v>
      </c>
      <c r="B17" s="40"/>
      <c r="C17" s="40"/>
      <c r="D17" s="40"/>
      <c r="E17" s="40"/>
      <c r="F17" s="40"/>
      <c r="BC17" s="22"/>
    </row>
    <row r="19" spans="1:55" ht="15.75" thickBot="1" x14ac:dyDescent="0.3"/>
    <row r="20" spans="1:55" ht="16.5" thickBot="1" x14ac:dyDescent="0.3">
      <c r="A20" s="42" t="s">
        <v>24</v>
      </c>
      <c r="B20" s="43"/>
      <c r="C20" s="43"/>
      <c r="D20" s="44"/>
    </row>
    <row r="21" spans="1:55" ht="30" customHeight="1" x14ac:dyDescent="0.25">
      <c r="A21" s="49" t="s">
        <v>25</v>
      </c>
      <c r="B21" s="50"/>
      <c r="C21" s="51">
        <f>SUM(B10:F10)/38</f>
        <v>1</v>
      </c>
      <c r="D21" s="37"/>
    </row>
    <row r="22" spans="1:55" ht="30" customHeight="1" x14ac:dyDescent="0.25">
      <c r="A22" s="52" t="s">
        <v>26</v>
      </c>
      <c r="B22" s="53"/>
      <c r="C22" s="54">
        <f>SUM(B14:F14)/5</f>
        <v>14.6</v>
      </c>
      <c r="D22" s="55"/>
    </row>
    <row r="23" spans="1:55" ht="30" customHeight="1" x14ac:dyDescent="0.25">
      <c r="A23" s="52" t="s">
        <v>27</v>
      </c>
      <c r="B23" s="53"/>
      <c r="C23" s="54">
        <f>SUM(B13:F13)/5</f>
        <v>7</v>
      </c>
      <c r="D23" s="55"/>
    </row>
    <row r="24" spans="1:55" ht="30" customHeight="1" thickBot="1" x14ac:dyDescent="0.3">
      <c r="A24" s="45" t="s">
        <v>28</v>
      </c>
      <c r="B24" s="46"/>
      <c r="C24" s="47">
        <f>SUM(B15:F15)/5</f>
        <v>7</v>
      </c>
      <c r="D24" s="48"/>
    </row>
  </sheetData>
  <mergeCells count="15">
    <mergeCell ref="A20:D20"/>
    <mergeCell ref="A24:B24"/>
    <mergeCell ref="C24:D24"/>
    <mergeCell ref="A21:B21"/>
    <mergeCell ref="C21:D21"/>
    <mergeCell ref="A22:B22"/>
    <mergeCell ref="C22:D22"/>
    <mergeCell ref="A23:B23"/>
    <mergeCell ref="C23:D23"/>
    <mergeCell ref="A1:F1"/>
    <mergeCell ref="A3:F3"/>
    <mergeCell ref="B4:F4"/>
    <mergeCell ref="B5:F5"/>
    <mergeCell ref="A17:F17"/>
    <mergeCell ref="A16:C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7B4A-C35B-4C62-A480-1863CBAF53C4}">
  <dimension ref="A1:BC24"/>
  <sheetViews>
    <sheetView workbookViewId="0">
      <selection activeCell="A20" sqref="A20:D24"/>
    </sheetView>
  </sheetViews>
  <sheetFormatPr defaultRowHeight="15" x14ac:dyDescent="0.25"/>
  <cols>
    <col min="1" max="1" width="20.42578125" customWidth="1"/>
    <col min="9" max="48" width="3.7109375" customWidth="1"/>
  </cols>
  <sheetData>
    <row r="1" spans="1:47" x14ac:dyDescent="0.25">
      <c r="A1" s="38" t="s">
        <v>18</v>
      </c>
      <c r="B1" s="38"/>
      <c r="C1" s="38"/>
      <c r="D1" s="38"/>
      <c r="E1" s="38"/>
      <c r="F1" s="38"/>
    </row>
    <row r="2" spans="1:47" x14ac:dyDescent="0.25">
      <c r="A2" s="2"/>
      <c r="B2" s="2"/>
      <c r="C2" s="2"/>
      <c r="D2" s="2"/>
      <c r="E2" s="2"/>
      <c r="F2" s="2"/>
    </row>
    <row r="3" spans="1:47" x14ac:dyDescent="0.25">
      <c r="A3" s="39" t="s">
        <v>17</v>
      </c>
      <c r="B3" s="39"/>
      <c r="C3" s="39"/>
      <c r="D3" s="39"/>
      <c r="E3" s="39"/>
      <c r="F3" s="39"/>
    </row>
    <row r="4" spans="1:47" x14ac:dyDescent="0.25">
      <c r="A4" s="3"/>
      <c r="B4" s="39" t="s">
        <v>13</v>
      </c>
      <c r="C4" s="39"/>
      <c r="D4" s="39"/>
      <c r="E4" s="39"/>
      <c r="F4" s="39"/>
    </row>
    <row r="5" spans="1:47" x14ac:dyDescent="0.25">
      <c r="A5" s="3"/>
      <c r="B5" s="39" t="s">
        <v>14</v>
      </c>
      <c r="C5" s="39"/>
      <c r="D5" s="39"/>
      <c r="E5" s="39"/>
      <c r="F5" s="39"/>
    </row>
    <row r="6" spans="1:47" x14ac:dyDescent="0.25">
      <c r="A6" s="3"/>
      <c r="B6" s="3"/>
      <c r="C6" s="3"/>
      <c r="D6" s="3"/>
      <c r="E6" s="3"/>
      <c r="F6" s="3"/>
    </row>
    <row r="7" spans="1:47" ht="15.75" thickBot="1" x14ac:dyDescent="0.3">
      <c r="A7" s="1"/>
      <c r="B7" s="1"/>
      <c r="C7" s="1"/>
      <c r="D7" s="1"/>
      <c r="E7" s="1"/>
      <c r="F7" s="1"/>
    </row>
    <row r="8" spans="1:47" ht="15.75" thickBot="1" x14ac:dyDescent="0.3">
      <c r="A8" s="7" t="s">
        <v>2</v>
      </c>
      <c r="B8" s="7" t="s">
        <v>8</v>
      </c>
      <c r="C8" s="7" t="s">
        <v>9</v>
      </c>
      <c r="D8" s="5" t="s">
        <v>10</v>
      </c>
      <c r="E8" s="5" t="s">
        <v>11</v>
      </c>
      <c r="F8" s="6" t="s">
        <v>12</v>
      </c>
      <c r="H8" s="27" t="s">
        <v>8</v>
      </c>
      <c r="I8" s="30"/>
      <c r="J8" s="31"/>
      <c r="K8" s="32"/>
    </row>
    <row r="9" spans="1:47" x14ac:dyDescent="0.25">
      <c r="A9" s="8" t="s">
        <v>3</v>
      </c>
      <c r="B9" s="11">
        <v>0</v>
      </c>
      <c r="C9" s="12">
        <v>1</v>
      </c>
      <c r="D9" s="11">
        <v>3</v>
      </c>
      <c r="E9" s="11">
        <v>9</v>
      </c>
      <c r="F9" s="11">
        <v>12</v>
      </c>
      <c r="H9" s="27" t="s">
        <v>9</v>
      </c>
      <c r="J9" s="26"/>
      <c r="K9" s="26"/>
      <c r="L9" s="26"/>
      <c r="M9" s="26"/>
      <c r="N9" s="30"/>
      <c r="O9" s="31"/>
      <c r="P9" s="31"/>
      <c r="Q9" s="31"/>
      <c r="R9" s="31"/>
      <c r="S9" s="31"/>
      <c r="T9" s="31"/>
      <c r="U9" s="32"/>
    </row>
    <row r="10" spans="1:47" x14ac:dyDescent="0.25">
      <c r="A10" s="9" t="s">
        <v>4</v>
      </c>
      <c r="B10" s="13">
        <v>3</v>
      </c>
      <c r="C10" s="14">
        <v>8</v>
      </c>
      <c r="D10" s="13">
        <v>2</v>
      </c>
      <c r="E10" s="13">
        <v>20</v>
      </c>
      <c r="F10" s="13">
        <v>5</v>
      </c>
      <c r="H10" s="27" t="s">
        <v>10</v>
      </c>
      <c r="L10" s="30"/>
      <c r="M10" s="32"/>
    </row>
    <row r="11" spans="1:47" ht="15.75" thickBot="1" x14ac:dyDescent="0.3">
      <c r="A11" s="10" t="s">
        <v>5</v>
      </c>
      <c r="B11" s="15">
        <v>0</v>
      </c>
      <c r="C11" s="16">
        <v>5</v>
      </c>
      <c r="D11" s="15">
        <v>3</v>
      </c>
      <c r="E11" s="15">
        <v>18</v>
      </c>
      <c r="F11" s="15">
        <v>13</v>
      </c>
      <c r="H11" s="27" t="s">
        <v>11</v>
      </c>
      <c r="R11" s="26"/>
      <c r="S11" s="26"/>
      <c r="T11" s="26"/>
      <c r="U11" s="26"/>
      <c r="V11" s="26"/>
      <c r="W11" s="26"/>
      <c r="X11" s="26"/>
      <c r="Y11" s="26"/>
      <c r="Z11" s="26"/>
      <c r="AA11" s="30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2"/>
    </row>
    <row r="12" spans="1:47" ht="15.75" thickBot="1" x14ac:dyDescent="0.3">
      <c r="A12" s="9" t="s">
        <v>6</v>
      </c>
      <c r="B12" s="18">
        <v>3</v>
      </c>
      <c r="C12" s="19">
        <v>13</v>
      </c>
      <c r="D12" s="18">
        <v>5</v>
      </c>
      <c r="E12" s="18">
        <v>38</v>
      </c>
      <c r="F12" s="18">
        <v>18</v>
      </c>
      <c r="H12" s="28" t="s">
        <v>12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9"/>
      <c r="V12" s="30"/>
      <c r="W12" s="31"/>
      <c r="X12" s="31"/>
      <c r="Y12" s="31"/>
      <c r="Z12" s="32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15.75" thickBot="1" x14ac:dyDescent="0.3">
      <c r="A13" s="10" t="s">
        <v>7</v>
      </c>
      <c r="B13" s="20">
        <v>0</v>
      </c>
      <c r="C13" s="21">
        <v>4</v>
      </c>
      <c r="D13" s="20">
        <v>0</v>
      </c>
      <c r="E13" s="20">
        <v>9</v>
      </c>
      <c r="F13" s="20">
        <v>1</v>
      </c>
      <c r="H13" s="34"/>
      <c r="I13">
        <v>0</v>
      </c>
      <c r="J13">
        <v>1</v>
      </c>
      <c r="K13" s="22">
        <v>2</v>
      </c>
      <c r="L13">
        <v>3</v>
      </c>
      <c r="M13" s="22">
        <v>4</v>
      </c>
      <c r="N13">
        <v>5</v>
      </c>
      <c r="O13" s="22">
        <v>6</v>
      </c>
      <c r="P13">
        <v>7</v>
      </c>
      <c r="Q13" s="22">
        <v>8</v>
      </c>
      <c r="R13">
        <v>9</v>
      </c>
      <c r="S13" s="22">
        <v>10</v>
      </c>
      <c r="T13">
        <v>11</v>
      </c>
      <c r="U13" s="22">
        <v>12</v>
      </c>
      <c r="V13">
        <v>13</v>
      </c>
      <c r="W13" s="22">
        <v>14</v>
      </c>
      <c r="X13">
        <v>15</v>
      </c>
      <c r="Y13" s="22">
        <v>16</v>
      </c>
      <c r="Z13">
        <v>17</v>
      </c>
      <c r="AA13" s="22">
        <v>18</v>
      </c>
      <c r="AB13">
        <v>19</v>
      </c>
      <c r="AC13" s="22">
        <v>20</v>
      </c>
      <c r="AD13" s="22">
        <v>21</v>
      </c>
      <c r="AE13">
        <v>22</v>
      </c>
      <c r="AF13" s="22">
        <v>23</v>
      </c>
      <c r="AG13" s="22">
        <v>24</v>
      </c>
      <c r="AH13">
        <v>25</v>
      </c>
      <c r="AI13" s="22">
        <v>26</v>
      </c>
      <c r="AJ13" s="22">
        <v>27</v>
      </c>
      <c r="AK13">
        <v>28</v>
      </c>
      <c r="AL13" s="22">
        <v>29</v>
      </c>
      <c r="AM13">
        <v>30</v>
      </c>
      <c r="AN13" s="22">
        <v>31</v>
      </c>
      <c r="AO13" s="22">
        <v>32</v>
      </c>
      <c r="AP13">
        <v>33</v>
      </c>
      <c r="AQ13" s="22">
        <v>34</v>
      </c>
      <c r="AR13" s="22">
        <v>35</v>
      </c>
      <c r="AS13">
        <v>36</v>
      </c>
      <c r="AT13" s="22">
        <v>37</v>
      </c>
      <c r="AU13" s="22">
        <v>38</v>
      </c>
    </row>
    <row r="14" spans="1:47" ht="15.75" thickBot="1" x14ac:dyDescent="0.3">
      <c r="A14" s="4" t="s">
        <v>29</v>
      </c>
      <c r="B14" s="17">
        <f>B12-B9</f>
        <v>3</v>
      </c>
      <c r="C14" s="17">
        <f>C12-C9</f>
        <v>12</v>
      </c>
      <c r="D14" s="17">
        <f t="shared" ref="D14:F14" si="0">D12-D9</f>
        <v>2</v>
      </c>
      <c r="E14" s="17">
        <f t="shared" si="0"/>
        <v>29</v>
      </c>
      <c r="F14" s="17">
        <f t="shared" si="0"/>
        <v>6</v>
      </c>
    </row>
    <row r="15" spans="1:47" ht="15.75" thickBot="1" x14ac:dyDescent="0.3">
      <c r="A15" s="4" t="s">
        <v>30</v>
      </c>
      <c r="B15" s="17">
        <f>B11-B9</f>
        <v>0</v>
      </c>
      <c r="C15" s="17">
        <f t="shared" ref="C15:F15" si="1">C11-C9</f>
        <v>4</v>
      </c>
      <c r="D15" s="17">
        <f t="shared" si="1"/>
        <v>0</v>
      </c>
      <c r="E15" s="17">
        <f t="shared" si="1"/>
        <v>9</v>
      </c>
      <c r="F15" s="17">
        <f t="shared" si="1"/>
        <v>1</v>
      </c>
    </row>
    <row r="16" spans="1:47" x14ac:dyDescent="0.25">
      <c r="A16" s="1"/>
      <c r="B16" s="1"/>
      <c r="C16" s="1"/>
      <c r="D16" s="1"/>
      <c r="E16" s="1"/>
      <c r="F16" s="1"/>
    </row>
    <row r="17" spans="1:55" x14ac:dyDescent="0.25">
      <c r="A17" s="41" t="s">
        <v>16</v>
      </c>
      <c r="B17" s="41"/>
      <c r="C17" s="41"/>
    </row>
    <row r="18" spans="1:55" x14ac:dyDescent="0.25">
      <c r="A18" s="40" t="s">
        <v>19</v>
      </c>
      <c r="B18" s="40"/>
      <c r="C18" s="40"/>
      <c r="D18" s="40"/>
      <c r="E18" s="40"/>
      <c r="F18" s="40"/>
      <c r="BC18" s="22"/>
    </row>
    <row r="19" spans="1:55" ht="15.75" thickBot="1" x14ac:dyDescent="0.3"/>
    <row r="20" spans="1:55" ht="16.5" thickBot="1" x14ac:dyDescent="0.3">
      <c r="A20" s="42" t="s">
        <v>24</v>
      </c>
      <c r="B20" s="43"/>
      <c r="C20" s="43"/>
      <c r="D20" s="44"/>
    </row>
    <row r="21" spans="1:55" ht="30" customHeight="1" x14ac:dyDescent="0.25">
      <c r="A21" s="49" t="s">
        <v>25</v>
      </c>
      <c r="B21" s="50"/>
      <c r="C21" s="51">
        <f>SUM(B10:F10)/38</f>
        <v>1</v>
      </c>
      <c r="D21" s="37"/>
    </row>
    <row r="22" spans="1:55" ht="30" customHeight="1" x14ac:dyDescent="0.25">
      <c r="A22" s="52" t="s">
        <v>26</v>
      </c>
      <c r="B22" s="53"/>
      <c r="C22" s="54">
        <f>SUM(B14:F14)/5</f>
        <v>10.4</v>
      </c>
      <c r="D22" s="55"/>
    </row>
    <row r="23" spans="1:55" ht="30" customHeight="1" x14ac:dyDescent="0.25">
      <c r="A23" s="52" t="s">
        <v>27</v>
      </c>
      <c r="B23" s="53"/>
      <c r="C23" s="54">
        <f>SUM(B13:F13)/5</f>
        <v>2.8</v>
      </c>
      <c r="D23" s="55"/>
    </row>
    <row r="24" spans="1:55" ht="30" customHeight="1" thickBot="1" x14ac:dyDescent="0.3">
      <c r="A24" s="45" t="s">
        <v>28</v>
      </c>
      <c r="B24" s="46"/>
      <c r="C24" s="47">
        <f>SUM(B15:F15)/5</f>
        <v>2.8</v>
      </c>
      <c r="D24" s="48"/>
    </row>
  </sheetData>
  <mergeCells count="15">
    <mergeCell ref="A24:B24"/>
    <mergeCell ref="C24:D24"/>
    <mergeCell ref="A20:D20"/>
    <mergeCell ref="A21:B21"/>
    <mergeCell ref="C21:D21"/>
    <mergeCell ref="A22:B22"/>
    <mergeCell ref="C22:D22"/>
    <mergeCell ref="A23:B23"/>
    <mergeCell ref="C23:D23"/>
    <mergeCell ref="A18:F18"/>
    <mergeCell ref="A1:F1"/>
    <mergeCell ref="A3:F3"/>
    <mergeCell ref="B4:F4"/>
    <mergeCell ref="B5:F5"/>
    <mergeCell ref="A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0938-7927-48F1-9F9A-30E7A2047434}">
  <dimension ref="A1:BC24"/>
  <sheetViews>
    <sheetView workbookViewId="0">
      <selection activeCell="A20" sqref="A20:D24"/>
    </sheetView>
  </sheetViews>
  <sheetFormatPr defaultRowHeight="15" x14ac:dyDescent="0.25"/>
  <cols>
    <col min="1" max="1" width="19.5703125" customWidth="1"/>
    <col min="6" max="6" width="9.85546875" customWidth="1"/>
    <col min="9" max="48" width="3.7109375" customWidth="1"/>
  </cols>
  <sheetData>
    <row r="1" spans="1:47" x14ac:dyDescent="0.25">
      <c r="A1" s="38" t="s">
        <v>20</v>
      </c>
      <c r="B1" s="38"/>
      <c r="C1" s="38"/>
      <c r="D1" s="38"/>
      <c r="E1" s="38"/>
      <c r="F1" s="38"/>
    </row>
    <row r="2" spans="1:47" x14ac:dyDescent="0.25">
      <c r="A2" s="2"/>
      <c r="B2" s="2"/>
      <c r="C2" s="2"/>
      <c r="D2" s="2"/>
      <c r="E2" s="2"/>
      <c r="F2" s="2"/>
    </row>
    <row r="3" spans="1:47" x14ac:dyDescent="0.25">
      <c r="A3" s="39" t="s">
        <v>21</v>
      </c>
      <c r="B3" s="39"/>
      <c r="C3" s="39"/>
      <c r="D3" s="39"/>
      <c r="E3" s="39"/>
      <c r="F3" s="39"/>
    </row>
    <row r="4" spans="1:47" x14ac:dyDescent="0.25">
      <c r="A4" s="3"/>
      <c r="B4" s="39" t="s">
        <v>13</v>
      </c>
      <c r="C4" s="39"/>
      <c r="D4" s="39"/>
      <c r="E4" s="39"/>
      <c r="F4" s="39"/>
    </row>
    <row r="5" spans="1:47" x14ac:dyDescent="0.25">
      <c r="A5" s="3"/>
      <c r="B5" s="39" t="s">
        <v>14</v>
      </c>
      <c r="C5" s="39"/>
      <c r="D5" s="39"/>
      <c r="E5" s="39"/>
      <c r="F5" s="39"/>
    </row>
    <row r="6" spans="1:47" x14ac:dyDescent="0.25">
      <c r="A6" s="3"/>
      <c r="B6" s="3"/>
      <c r="C6" s="3"/>
      <c r="D6" s="3"/>
      <c r="E6" s="3"/>
      <c r="F6" s="3"/>
    </row>
    <row r="7" spans="1:47" ht="15.75" thickBot="1" x14ac:dyDescent="0.3">
      <c r="A7" s="1"/>
      <c r="B7" s="1"/>
      <c r="C7" s="1"/>
      <c r="D7" s="1"/>
      <c r="E7" s="1"/>
      <c r="F7" s="1"/>
    </row>
    <row r="8" spans="1:47" ht="15.75" thickBot="1" x14ac:dyDescent="0.3">
      <c r="A8" s="7" t="s">
        <v>2</v>
      </c>
      <c r="B8" s="7" t="s">
        <v>8</v>
      </c>
      <c r="C8" s="7" t="s">
        <v>9</v>
      </c>
      <c r="D8" s="5" t="s">
        <v>10</v>
      </c>
      <c r="E8" s="5" t="s">
        <v>11</v>
      </c>
      <c r="F8" s="6" t="s">
        <v>12</v>
      </c>
      <c r="H8" s="27" t="s">
        <v>8</v>
      </c>
      <c r="I8" s="30"/>
      <c r="J8" s="31"/>
      <c r="K8" s="32"/>
    </row>
    <row r="9" spans="1:47" x14ac:dyDescent="0.25">
      <c r="A9" s="8" t="s">
        <v>3</v>
      </c>
      <c r="B9" s="11">
        <v>0</v>
      </c>
      <c r="C9" s="11">
        <v>1</v>
      </c>
      <c r="D9" s="11">
        <v>3</v>
      </c>
      <c r="E9" s="11">
        <v>9</v>
      </c>
      <c r="F9" s="11">
        <v>12</v>
      </c>
      <c r="H9" s="27" t="s">
        <v>9</v>
      </c>
      <c r="J9" s="26"/>
      <c r="K9" s="26"/>
      <c r="L9" s="30"/>
      <c r="M9" s="31"/>
      <c r="N9" s="31"/>
      <c r="O9" s="31"/>
      <c r="P9" s="32"/>
      <c r="Q9" s="26"/>
      <c r="R9" s="26"/>
      <c r="S9" s="30"/>
      <c r="T9" s="31"/>
      <c r="U9" s="32"/>
    </row>
    <row r="10" spans="1:47" x14ac:dyDescent="0.25">
      <c r="A10" s="9" t="s">
        <v>4</v>
      </c>
      <c r="B10" s="13">
        <v>3</v>
      </c>
      <c r="C10" s="13">
        <v>8</v>
      </c>
      <c r="D10" s="13">
        <v>2</v>
      </c>
      <c r="E10" s="13">
        <v>20</v>
      </c>
      <c r="F10" s="13">
        <v>5</v>
      </c>
      <c r="H10" s="27" t="s">
        <v>10</v>
      </c>
      <c r="L10" s="26"/>
      <c r="M10" s="26"/>
      <c r="N10" s="26"/>
      <c r="O10" s="26"/>
      <c r="P10" s="26"/>
      <c r="Q10" s="30"/>
      <c r="R10" s="32"/>
    </row>
    <row r="11" spans="1:47" ht="15.75" thickBot="1" x14ac:dyDescent="0.3">
      <c r="A11" s="10" t="s">
        <v>5</v>
      </c>
      <c r="B11" s="15">
        <v>0</v>
      </c>
      <c r="C11" s="15">
        <v>3</v>
      </c>
      <c r="D11" s="15">
        <v>8</v>
      </c>
      <c r="E11" s="15">
        <v>13</v>
      </c>
      <c r="F11" s="15">
        <v>18</v>
      </c>
      <c r="H11" s="27" t="s">
        <v>11</v>
      </c>
      <c r="R11" s="26"/>
      <c r="S11" s="26"/>
      <c r="T11" s="26"/>
      <c r="U11" s="26"/>
      <c r="V11" s="30"/>
      <c r="W11" s="31"/>
      <c r="X11" s="31"/>
      <c r="Y11" s="31"/>
      <c r="Z11" s="32"/>
      <c r="AA11" s="26"/>
      <c r="AB11" s="26"/>
      <c r="AC11" s="26"/>
      <c r="AD11" s="26"/>
      <c r="AE11" s="26"/>
      <c r="AF11" s="30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2"/>
    </row>
    <row r="12" spans="1:47" ht="15.75" thickBot="1" x14ac:dyDescent="0.3">
      <c r="A12" s="9" t="s">
        <v>6</v>
      </c>
      <c r="B12" s="18">
        <v>3</v>
      </c>
      <c r="C12" s="19">
        <v>13</v>
      </c>
      <c r="D12" s="18">
        <v>10</v>
      </c>
      <c r="E12" s="18">
        <v>38</v>
      </c>
      <c r="F12" s="18">
        <v>23</v>
      </c>
      <c r="H12" s="28" t="s">
        <v>12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9"/>
      <c r="V12" s="29"/>
      <c r="W12" s="29"/>
      <c r="X12" s="29"/>
      <c r="Y12" s="29"/>
      <c r="Z12" s="29"/>
      <c r="AA12" s="30"/>
      <c r="AB12" s="31"/>
      <c r="AC12" s="31"/>
      <c r="AD12" s="31"/>
      <c r="AE12" s="32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15.75" thickBot="1" x14ac:dyDescent="0.3">
      <c r="A13" s="10" t="s">
        <v>7</v>
      </c>
      <c r="B13" s="20">
        <v>0</v>
      </c>
      <c r="C13" s="21">
        <v>4</v>
      </c>
      <c r="D13" s="20">
        <v>5</v>
      </c>
      <c r="E13" s="20">
        <v>9</v>
      </c>
      <c r="F13" s="20">
        <v>6</v>
      </c>
      <c r="I13" s="22">
        <v>0</v>
      </c>
      <c r="J13">
        <v>1</v>
      </c>
      <c r="K13" s="22">
        <v>2</v>
      </c>
      <c r="L13">
        <v>3</v>
      </c>
      <c r="M13" s="22">
        <v>4</v>
      </c>
      <c r="N13">
        <v>5</v>
      </c>
      <c r="O13" s="22">
        <v>6</v>
      </c>
      <c r="P13">
        <v>7</v>
      </c>
      <c r="Q13" s="22">
        <v>8</v>
      </c>
      <c r="R13">
        <v>9</v>
      </c>
      <c r="S13" s="22">
        <v>10</v>
      </c>
      <c r="T13">
        <v>11</v>
      </c>
      <c r="U13" s="22">
        <v>12</v>
      </c>
      <c r="V13">
        <v>13</v>
      </c>
      <c r="W13" s="22">
        <v>14</v>
      </c>
      <c r="X13">
        <v>15</v>
      </c>
      <c r="Y13" s="22">
        <v>16</v>
      </c>
      <c r="Z13">
        <v>17</v>
      </c>
      <c r="AA13" s="22">
        <v>18</v>
      </c>
      <c r="AB13">
        <v>19</v>
      </c>
      <c r="AC13" s="22">
        <v>20</v>
      </c>
      <c r="AD13" s="22">
        <v>21</v>
      </c>
      <c r="AE13">
        <v>22</v>
      </c>
      <c r="AF13" s="22">
        <v>23</v>
      </c>
      <c r="AG13" s="22">
        <v>24</v>
      </c>
      <c r="AH13">
        <v>25</v>
      </c>
      <c r="AI13" s="22">
        <v>26</v>
      </c>
      <c r="AJ13" s="22">
        <v>27</v>
      </c>
      <c r="AK13">
        <v>28</v>
      </c>
      <c r="AL13" s="22">
        <v>29</v>
      </c>
      <c r="AM13">
        <v>30</v>
      </c>
      <c r="AN13" s="22">
        <v>31</v>
      </c>
      <c r="AO13" s="22">
        <v>32</v>
      </c>
      <c r="AP13">
        <v>33</v>
      </c>
      <c r="AQ13" s="22">
        <v>34</v>
      </c>
      <c r="AR13" s="22">
        <v>35</v>
      </c>
      <c r="AS13">
        <v>36</v>
      </c>
      <c r="AT13" s="22">
        <v>37</v>
      </c>
      <c r="AU13" s="22">
        <v>38</v>
      </c>
    </row>
    <row r="14" spans="1:47" ht="15.75" thickBot="1" x14ac:dyDescent="0.3">
      <c r="A14" s="4" t="s">
        <v>29</v>
      </c>
      <c r="B14" s="17">
        <f>B12-B9</f>
        <v>3</v>
      </c>
      <c r="C14" s="17">
        <f>C12-C9</f>
        <v>12</v>
      </c>
      <c r="D14" s="17">
        <f t="shared" ref="D14:F14" si="0">D12-D9</f>
        <v>7</v>
      </c>
      <c r="E14" s="17">
        <f t="shared" si="0"/>
        <v>29</v>
      </c>
      <c r="F14" s="17">
        <f t="shared" si="0"/>
        <v>11</v>
      </c>
    </row>
    <row r="15" spans="1:47" ht="15.75" thickBot="1" x14ac:dyDescent="0.3">
      <c r="A15" s="4" t="s">
        <v>30</v>
      </c>
      <c r="B15" s="17">
        <f>B11-B9</f>
        <v>0</v>
      </c>
      <c r="C15" s="17">
        <f t="shared" ref="C15:F15" si="1">C11-C9</f>
        <v>2</v>
      </c>
      <c r="D15" s="17">
        <f t="shared" si="1"/>
        <v>5</v>
      </c>
      <c r="E15" s="17">
        <f t="shared" si="1"/>
        <v>4</v>
      </c>
      <c r="F15" s="17">
        <f t="shared" si="1"/>
        <v>6</v>
      </c>
    </row>
    <row r="16" spans="1:47" x14ac:dyDescent="0.25">
      <c r="A16" s="1"/>
      <c r="B16" s="1"/>
      <c r="C16" s="1"/>
      <c r="D16" s="1"/>
      <c r="E16" s="1"/>
      <c r="F16" s="1"/>
    </row>
    <row r="17" spans="1:55" x14ac:dyDescent="0.25">
      <c r="A17" s="41" t="s">
        <v>16</v>
      </c>
      <c r="B17" s="41"/>
      <c r="C17" s="41"/>
    </row>
    <row r="18" spans="1:55" x14ac:dyDescent="0.25">
      <c r="A18" s="40" t="s">
        <v>22</v>
      </c>
      <c r="B18" s="40"/>
      <c r="C18" s="40"/>
      <c r="D18" s="40"/>
      <c r="E18" s="40"/>
      <c r="F18" s="40"/>
      <c r="BC18" s="22"/>
    </row>
    <row r="19" spans="1:55" ht="15.75" thickBot="1" x14ac:dyDescent="0.3"/>
    <row r="20" spans="1:55" ht="16.5" thickBot="1" x14ac:dyDescent="0.3">
      <c r="A20" s="42" t="s">
        <v>24</v>
      </c>
      <c r="B20" s="43"/>
      <c r="C20" s="43"/>
      <c r="D20" s="44"/>
    </row>
    <row r="21" spans="1:55" ht="30" customHeight="1" x14ac:dyDescent="0.25">
      <c r="A21" s="49" t="s">
        <v>25</v>
      </c>
      <c r="B21" s="50"/>
      <c r="C21" s="56">
        <v>1</v>
      </c>
      <c r="D21" s="57"/>
    </row>
    <row r="22" spans="1:55" ht="30" customHeight="1" x14ac:dyDescent="0.25">
      <c r="A22" s="52" t="s">
        <v>26</v>
      </c>
      <c r="B22" s="53"/>
      <c r="C22" s="54">
        <f>SUM(B14:F14)/5</f>
        <v>12.4</v>
      </c>
      <c r="D22" s="55"/>
    </row>
    <row r="23" spans="1:55" ht="30" customHeight="1" x14ac:dyDescent="0.25">
      <c r="A23" s="52" t="s">
        <v>27</v>
      </c>
      <c r="B23" s="53"/>
      <c r="C23" s="54">
        <f>SUM(B13:F13)/5</f>
        <v>4.8</v>
      </c>
      <c r="D23" s="55"/>
    </row>
    <row r="24" spans="1:55" ht="30" customHeight="1" thickBot="1" x14ac:dyDescent="0.3">
      <c r="A24" s="45" t="s">
        <v>28</v>
      </c>
      <c r="B24" s="46"/>
      <c r="C24" s="47">
        <f>SUM(B15:F15)/5</f>
        <v>3.4</v>
      </c>
      <c r="D24" s="48"/>
    </row>
  </sheetData>
  <mergeCells count="15">
    <mergeCell ref="A24:B24"/>
    <mergeCell ref="C24:D24"/>
    <mergeCell ref="A20:D20"/>
    <mergeCell ref="A21:B21"/>
    <mergeCell ref="C21:D21"/>
    <mergeCell ref="A22:B22"/>
    <mergeCell ref="C22:D22"/>
    <mergeCell ref="A23:B23"/>
    <mergeCell ref="C23:D23"/>
    <mergeCell ref="A18:F18"/>
    <mergeCell ref="A1:F1"/>
    <mergeCell ref="A3:F3"/>
    <mergeCell ref="B4:F4"/>
    <mergeCell ref="B5:F5"/>
    <mergeCell ref="A17:C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C3ED-8FF7-4D73-B6E4-BB0AE77E0385}">
  <dimension ref="A1:J7"/>
  <sheetViews>
    <sheetView tabSelected="1" workbookViewId="0">
      <selection activeCell="D14" sqref="D14"/>
    </sheetView>
  </sheetViews>
  <sheetFormatPr defaultRowHeight="15" x14ac:dyDescent="0.25"/>
  <cols>
    <col min="2" max="2" width="16.85546875" customWidth="1"/>
    <col min="4" max="4" width="16.5703125" customWidth="1"/>
    <col min="10" max="10" width="3.42578125" customWidth="1"/>
  </cols>
  <sheetData>
    <row r="1" spans="1:10" ht="134.25" customHeight="1" x14ac:dyDescent="0.25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6.5" thickBot="1" x14ac:dyDescent="0.3">
      <c r="A2" s="35"/>
    </row>
    <row r="3" spans="1:10" ht="16.5" thickBot="1" x14ac:dyDescent="0.3">
      <c r="A3" s="42" t="s">
        <v>24</v>
      </c>
      <c r="B3" s="43"/>
      <c r="C3" s="43"/>
      <c r="D3" s="44"/>
      <c r="E3" s="36"/>
    </row>
    <row r="4" spans="1:10" ht="15.75" x14ac:dyDescent="0.25">
      <c r="A4" s="62" t="s">
        <v>25</v>
      </c>
      <c r="B4" s="63"/>
      <c r="C4" s="51"/>
      <c r="D4" s="37"/>
    </row>
    <row r="5" spans="1:10" ht="15.75" x14ac:dyDescent="0.25">
      <c r="A5" s="64" t="s">
        <v>26</v>
      </c>
      <c r="B5" s="65"/>
      <c r="C5" s="54"/>
      <c r="D5" s="55"/>
    </row>
    <row r="6" spans="1:10" ht="15.75" x14ac:dyDescent="0.25">
      <c r="A6" s="64" t="s">
        <v>27</v>
      </c>
      <c r="B6" s="65"/>
      <c r="C6" s="54"/>
      <c r="D6" s="55"/>
    </row>
    <row r="7" spans="1:10" ht="16.5" thickBot="1" x14ac:dyDescent="0.3">
      <c r="A7" s="58" t="s">
        <v>28</v>
      </c>
      <c r="B7" s="59"/>
      <c r="C7" s="47"/>
      <c r="D7" s="48"/>
    </row>
  </sheetData>
  <mergeCells count="10">
    <mergeCell ref="A3:D3"/>
    <mergeCell ref="A1:J1"/>
    <mergeCell ref="A4:B4"/>
    <mergeCell ref="A5:B5"/>
    <mergeCell ref="A6:B6"/>
    <mergeCell ref="A7:B7"/>
    <mergeCell ref="C7:D7"/>
    <mergeCell ref="C6:D6"/>
    <mergeCell ref="C5:D5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FCFS</vt:lpstr>
      <vt:lpstr>SJF</vt:lpstr>
      <vt:lpstr>RR</vt:lpstr>
      <vt:lpstr>3.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Feke</dc:creator>
  <cp:lastModifiedBy>Zoltán Feke</cp:lastModifiedBy>
  <dcterms:created xsi:type="dcterms:W3CDTF">2026-04-29T06:21:41Z</dcterms:created>
  <dcterms:modified xsi:type="dcterms:W3CDTF">2026-04-29T09:51:55Z</dcterms:modified>
</cp:coreProperties>
</file>