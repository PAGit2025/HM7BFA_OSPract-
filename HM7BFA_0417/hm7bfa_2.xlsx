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ita\Desktop\THE\II. félév\Operációs rendszerek\Fájlok_0417\"/>
    </mc:Choice>
  </mc:AlternateContent>
  <xr:revisionPtr revIDLastSave="0" documentId="13_ncr:1_{997A1BFD-7E69-4960-A0FC-777BE1A750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ória kezelé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  <c r="C66" i="1"/>
  <c r="C67" i="1"/>
  <c r="C64" i="1"/>
  <c r="T55" i="1"/>
  <c r="T51" i="1"/>
  <c r="S50" i="1"/>
  <c r="R50" i="1"/>
  <c r="Q50" i="1"/>
  <c r="P50" i="1"/>
  <c r="O50" i="1"/>
  <c r="T50" i="1" s="1"/>
  <c r="O59" i="1" s="1"/>
  <c r="N50" i="1"/>
  <c r="T40" i="1"/>
  <c r="T36" i="1"/>
  <c r="T35" i="1"/>
  <c r="O44" i="1" s="1"/>
  <c r="S35" i="1"/>
  <c r="R35" i="1"/>
  <c r="Q35" i="1"/>
  <c r="P35" i="1"/>
  <c r="O35" i="1"/>
  <c r="N35" i="1"/>
  <c r="T26" i="1"/>
  <c r="T22" i="1"/>
  <c r="S21" i="1"/>
  <c r="T21" i="1" s="1"/>
  <c r="O30" i="1" s="1"/>
  <c r="R21" i="1"/>
  <c r="Q21" i="1"/>
  <c r="P21" i="1"/>
  <c r="O21" i="1"/>
  <c r="N21" i="1"/>
  <c r="T11" i="1"/>
  <c r="T7" i="1"/>
  <c r="S6" i="1"/>
  <c r="R6" i="1"/>
  <c r="Q6" i="1"/>
  <c r="P6" i="1"/>
  <c r="O6" i="1"/>
  <c r="N6" i="1"/>
  <c r="T6" i="1" s="1"/>
  <c r="O15" i="1" s="1"/>
</calcChain>
</file>

<file path=xl/sharedStrings.xml><?xml version="1.0" encoding="utf-8"?>
<sst xmlns="http://schemas.openxmlformats.org/spreadsheetml/2006/main" count="90" uniqueCount="38">
  <si>
    <t>Igény</t>
  </si>
  <si>
    <t>Foglalható</t>
  </si>
  <si>
    <t>Szabad területek</t>
  </si>
  <si>
    <t>Szabad terület</t>
  </si>
  <si>
    <t>Foglalási igény</t>
  </si>
  <si>
    <t>First FIT</t>
  </si>
  <si>
    <t>Legkisebb eddigi foglalás</t>
  </si>
  <si>
    <t>Össz:</t>
  </si>
  <si>
    <t>Maradékok</t>
  </si>
  <si>
    <t>Valós foglalás</t>
  </si>
  <si>
    <t>Túl kicsi blokkok</t>
  </si>
  <si>
    <t>Blokkosítás miatti belső töredezettség</t>
  </si>
  <si>
    <t>nincs foglalva</t>
  </si>
  <si>
    <t>Töredezettség</t>
  </si>
  <si>
    <t>Szabad partíciók</t>
  </si>
  <si>
    <t>Nem sikerült lefoglalni</t>
  </si>
  <si>
    <t>1 igény</t>
  </si>
  <si>
    <t>Elveszett Memóriaterület</t>
  </si>
  <si>
    <t>NEXT FIT</t>
  </si>
  <si>
    <t>40, 35</t>
  </si>
  <si>
    <t>40, 5</t>
  </si>
  <si>
    <t>20 , 10</t>
  </si>
  <si>
    <t>24 , 11</t>
  </si>
  <si>
    <t>Elveszett memória : (maradék + túl kicsi blokk + belsőtöredezettség)/ szabadterületek összege</t>
  </si>
  <si>
    <t>BEST FIT</t>
  </si>
  <si>
    <t>WORST FIT</t>
  </si>
  <si>
    <r>
      <t xml:space="preserve">40, </t>
    </r>
    <r>
      <rPr>
        <sz val="11"/>
        <color rgb="FFFF0000"/>
        <rFont val="Arial"/>
        <family val="2"/>
        <charset val="238"/>
      </rPr>
      <t>35</t>
    </r>
  </si>
  <si>
    <r>
      <t xml:space="preserve">40, </t>
    </r>
    <r>
      <rPr>
        <b/>
        <sz val="11"/>
        <color rgb="FFFF0000"/>
        <rFont val="Arial"/>
        <family val="2"/>
        <charset val="238"/>
      </rPr>
      <t>5</t>
    </r>
  </si>
  <si>
    <r>
      <t xml:space="preserve">20 , </t>
    </r>
    <r>
      <rPr>
        <b/>
        <sz val="11"/>
        <color rgb="FFFF0000"/>
        <rFont val="Arial"/>
        <family val="2"/>
        <charset val="238"/>
      </rPr>
      <t>10</t>
    </r>
  </si>
  <si>
    <r>
      <t xml:space="preserve">24 , </t>
    </r>
    <r>
      <rPr>
        <sz val="11"/>
        <color rgb="FFFF0000"/>
        <rFont val="Arial"/>
        <family val="2"/>
        <charset val="238"/>
      </rPr>
      <t>11</t>
    </r>
  </si>
  <si>
    <r>
      <rPr>
        <b/>
        <sz val="11"/>
        <color theme="1"/>
        <rFont val="Arial"/>
        <family val="2"/>
        <charset val="238"/>
      </rPr>
      <t>Elveszett memória :</t>
    </r>
    <r>
      <rPr>
        <sz val="11"/>
        <color theme="1"/>
        <rFont val="Arial"/>
        <family val="2"/>
        <charset val="238"/>
      </rPr>
      <t xml:space="preserve"> (maradék + túl kicsi blokk + belsőtöredezettség)/ szabadterületek összege</t>
    </r>
  </si>
  <si>
    <t>Algoritmus</t>
  </si>
  <si>
    <t>Maradék</t>
  </si>
  <si>
    <t>Kihasználtság</t>
  </si>
  <si>
    <t>First Fit</t>
  </si>
  <si>
    <t>Best Fit</t>
  </si>
  <si>
    <t>Worst Fit</t>
  </si>
  <si>
    <t>Next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</si>
</sst>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1"/>
      <color rgb="FFFF0000"/>
      <name val="Arial"/>
      <family val="2"/>
      <charset val="238"/>
    </font>
    <font>
      <b/>
      <sz val="11"/>
      <color theme="4"/>
      <name val="Arial"/>
      <family val="2"/>
      <charset val="238"/>
    </font>
    <font>
      <sz val="11"/>
      <name val="Arial"/>
      <family val="2"/>
      <charset val="238"/>
    </font>
    <font>
      <b/>
      <sz val="11"/>
      <color rgb="FFFF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1" xfId="0" applyFont="1" applyBorder="1"/>
    <xf numFmtId="0" fontId="5" fillId="0" borderId="9" xfId="0" applyFont="1" applyBorder="1"/>
    <xf numFmtId="0" fontId="3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6" fillId="0" borderId="11" xfId="0" applyFont="1" applyBorder="1"/>
    <xf numFmtId="0" fontId="2" fillId="0" borderId="12" xfId="0" applyFont="1" applyBorder="1"/>
    <xf numFmtId="0" fontId="4" fillId="0" borderId="0" xfId="0" applyFont="1"/>
    <xf numFmtId="0" fontId="5" fillId="0" borderId="13" xfId="0" applyFont="1" applyBorder="1"/>
    <xf numFmtId="0" fontId="3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15" xfId="0" applyFont="1" applyBorder="1"/>
    <xf numFmtId="0" fontId="3" fillId="0" borderId="16" xfId="0" applyFont="1" applyBorder="1"/>
    <xf numFmtId="0" fontId="7" fillId="0" borderId="16" xfId="0" applyFont="1" applyBorder="1"/>
    <xf numFmtId="0" fontId="3" fillId="0" borderId="14" xfId="0" applyFont="1" applyBorder="1"/>
    <xf numFmtId="0" fontId="5" fillId="0" borderId="17" xfId="0" applyFont="1" applyBorder="1"/>
    <xf numFmtId="0" fontId="3" fillId="0" borderId="17" xfId="0" applyFont="1" applyBorder="1"/>
    <xf numFmtId="0" fontId="7" fillId="0" borderId="18" xfId="0" applyFont="1" applyBorder="1"/>
    <xf numFmtId="0" fontId="2" fillId="0" borderId="19" xfId="0" applyFont="1" applyBorder="1"/>
    <xf numFmtId="0" fontId="4" fillId="0" borderId="19" xfId="0" applyFont="1" applyBorder="1"/>
    <xf numFmtId="0" fontId="7" fillId="0" borderId="20" xfId="0" applyFont="1" applyBorder="1"/>
    <xf numFmtId="0" fontId="2" fillId="2" borderId="0" xfId="0" applyFont="1" applyFill="1"/>
    <xf numFmtId="0" fontId="7" fillId="0" borderId="0" xfId="0" applyFont="1"/>
    <xf numFmtId="10" fontId="3" fillId="0" borderId="0" xfId="1" applyNumberFormat="1" applyFont="1"/>
    <xf numFmtId="0" fontId="2" fillId="0" borderId="9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10" fontId="2" fillId="0" borderId="0" xfId="1" applyNumberFormat="1" applyFont="1"/>
    <xf numFmtId="164" fontId="2" fillId="0" borderId="0" xfId="0" applyNumberFormat="1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Memória kezelés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'Memória kezelés'!$A$64</c:f>
              <c:strCache>
                <c:ptCount val="1"/>
                <c:pt idx="0">
                  <c:v>First 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'Memória kezelés'!$B$63:$C$63</c:f>
              <c:strCache>
                <c:ptCount val="2"/>
                <c:pt idx="0">
                  <c:v>Maradék</c:v>
                </c:pt>
                <c:pt idx="1">
                  <c:v>Kihasználtság</c:v>
                </c:pt>
              </c:strCache>
            </c:strRef>
          </c:cat>
          <c:val>
            <c:numRef>
              <c:f>'Memória kezelés'!$B$64:$C$64</c:f>
              <c:numCache>
                <c:formatCode>0.0%</c:formatCode>
                <c:ptCount val="2"/>
                <c:pt idx="0" formatCode="General">
                  <c:v>101</c:v>
                </c:pt>
                <c:pt idx="1">
                  <c:v>0.55111111111111111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A-468B-8B72-E9C9F4029A4B}"/>
            </c:ext>
          </c:extLst>
        </c:ser>
        <c:ser>
          <c:idx val="1"/>
          <c:order val="1"/>
          <c:tx>
            <c:strRef>
              <c:f>'Memória kezelés'!$A$65</c:f>
              <c:strCache>
                <c:ptCount val="1"/>
                <c:pt idx="0">
                  <c:v>Best 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'Memória kezelés'!$B$63:$C$63</c:f>
              <c:strCache>
                <c:ptCount val="2"/>
                <c:pt idx="0">
                  <c:v>Maradék</c:v>
                </c:pt>
                <c:pt idx="1">
                  <c:v>Kihasználtság</c:v>
                </c:pt>
              </c:strCache>
            </c:strRef>
          </c:cat>
          <c:val>
            <c:numRef>
              <c:f>'Memória kezelés'!$B$65:$C$65</c:f>
              <c:numCache>
                <c:formatCode>0.0%</c:formatCode>
                <c:ptCount val="2"/>
                <c:pt idx="0" formatCode="General">
                  <c:v>101</c:v>
                </c:pt>
                <c:pt idx="1">
                  <c:v>0.55111111111111111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A-468B-8B72-E9C9F4029A4B}"/>
            </c:ext>
          </c:extLst>
        </c:ser>
        <c:ser>
          <c:idx val="2"/>
          <c:order val="2"/>
          <c:tx>
            <c:strRef>
              <c:f>'Memória kezelés'!$A$66</c:f>
              <c:strCache>
                <c:ptCount val="1"/>
                <c:pt idx="0">
                  <c:v>Worst 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'Memória kezelés'!$B$63:$C$63</c:f>
              <c:strCache>
                <c:ptCount val="2"/>
                <c:pt idx="0">
                  <c:v>Maradék</c:v>
                </c:pt>
                <c:pt idx="1">
                  <c:v>Kihasználtság</c:v>
                </c:pt>
              </c:strCache>
            </c:strRef>
          </c:cat>
          <c:val>
            <c:numRef>
              <c:f>'Memória kezelés'!$B$66:$C$66</c:f>
              <c:numCache>
                <c:formatCode>0.0%</c:formatCode>
                <c:ptCount val="2"/>
                <c:pt idx="0" formatCode="General">
                  <c:v>101</c:v>
                </c:pt>
                <c:pt idx="1">
                  <c:v>0.55111111111111111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DA-468B-8B72-E9C9F4029A4B}"/>
            </c:ext>
          </c:extLst>
        </c:ser>
        <c:ser>
          <c:idx val="3"/>
          <c:order val="3"/>
          <c:tx>
            <c:strRef>
              <c:f>'Memória kezelés'!$A$67</c:f>
              <c:strCache>
                <c:ptCount val="1"/>
                <c:pt idx="0">
                  <c:v>Next 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'Memória kezelés'!$B$63:$C$63</c:f>
              <c:strCache>
                <c:ptCount val="2"/>
                <c:pt idx="0">
                  <c:v>Maradék</c:v>
                </c:pt>
                <c:pt idx="1">
                  <c:v>Kihasználtság</c:v>
                </c:pt>
              </c:strCache>
            </c:strRef>
          </c:cat>
          <c:val>
            <c:numRef>
              <c:f>'Memória kezelés'!$B$67:$C$67</c:f>
              <c:numCache>
                <c:formatCode>0.0%</c:formatCode>
                <c:ptCount val="2"/>
                <c:pt idx="0" formatCode="General">
                  <c:v>101</c:v>
                </c:pt>
                <c:pt idx="1">
                  <c:v>0.55111111111111111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DA-468B-8B72-E9C9F4029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653983"/>
        <c:axId val="285656863"/>
      </c:barChart>
      <c:catAx>
        <c:axId val="28565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85656863"/>
        <c:crosses val="autoZero"/>
        <c:auto val="1"/>
        <c:lblAlgn val="ctr"/>
        <c:lblOffset val="100"/>
        <c:noMultiLvlLbl val="0"/>
      </c:catAx>
      <c:valAx>
        <c:axId val="28565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8565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59</xdr:row>
      <xdr:rowOff>142875</xdr:rowOff>
    </xdr:from>
    <xdr:to>
      <xdr:col>11</xdr:col>
      <xdr:colOff>95250</xdr:colOff>
      <xdr:row>74</xdr:row>
      <xdr:rowOff>171450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BC89B9B8-F68B-1EBB-20AD-4336222F3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"/>
  <sheetViews>
    <sheetView tabSelected="1" zoomScaleNormal="100" workbookViewId="0">
      <selection activeCell="K55" sqref="K55"/>
    </sheetView>
  </sheetViews>
  <sheetFormatPr defaultRowHeight="14.25" x14ac:dyDescent="0.2"/>
  <cols>
    <col min="1" max="1" width="21.7109375" style="1" bestFit="1" customWidth="1"/>
    <col min="2" max="2" width="10.28515625" style="1" bestFit="1" customWidth="1"/>
    <col min="3" max="3" width="9.85546875" style="1" bestFit="1" customWidth="1"/>
    <col min="4" max="24" width="9.140625" style="1"/>
    <col min="25" max="25" width="13.5703125" style="1" bestFit="1" customWidth="1"/>
    <col min="26" max="16384" width="9.140625" style="1"/>
  </cols>
  <sheetData>
    <row r="1" spans="1:25" ht="15" x14ac:dyDescent="0.25">
      <c r="C1" s="44" t="s">
        <v>3</v>
      </c>
      <c r="D1" s="44"/>
      <c r="E1" s="1">
        <v>30</v>
      </c>
      <c r="F1" s="1">
        <v>35</v>
      </c>
      <c r="G1" s="1">
        <v>15</v>
      </c>
      <c r="H1" s="1">
        <v>25</v>
      </c>
      <c r="I1" s="1">
        <v>75</v>
      </c>
      <c r="J1" s="1">
        <v>45</v>
      </c>
    </row>
    <row r="2" spans="1:25" ht="15" x14ac:dyDescent="0.25">
      <c r="C2" s="44" t="s">
        <v>4</v>
      </c>
      <c r="D2" s="44"/>
      <c r="E2" s="1">
        <v>39</v>
      </c>
      <c r="F2" s="1">
        <v>40</v>
      </c>
      <c r="G2" s="1">
        <v>33</v>
      </c>
      <c r="H2" s="1">
        <v>20</v>
      </c>
      <c r="I2" s="1">
        <v>21</v>
      </c>
    </row>
    <row r="4" spans="1:25" ht="15.75" thickBot="1" x14ac:dyDescent="0.3">
      <c r="A4" s="4" t="s">
        <v>5</v>
      </c>
    </row>
    <row r="5" spans="1:25" ht="15.75" thickBot="1" x14ac:dyDescent="0.3">
      <c r="A5" s="3"/>
      <c r="B5" s="3"/>
      <c r="C5" s="41" t="s">
        <v>2</v>
      </c>
      <c r="D5" s="42"/>
      <c r="E5" s="42"/>
      <c r="F5" s="42"/>
      <c r="G5" s="42"/>
      <c r="H5" s="43"/>
      <c r="L5" s="4" t="s">
        <v>6</v>
      </c>
      <c r="O5" s="4">
        <v>20</v>
      </c>
      <c r="T5" s="4" t="s">
        <v>7</v>
      </c>
    </row>
    <row r="6" spans="1:25" ht="15.75" thickBot="1" x14ac:dyDescent="0.3">
      <c r="A6" s="2" t="s">
        <v>0</v>
      </c>
      <c r="B6" s="2" t="s">
        <v>1</v>
      </c>
      <c r="C6" s="5">
        <v>30</v>
      </c>
      <c r="D6" s="6">
        <v>35</v>
      </c>
      <c r="E6" s="6">
        <v>15</v>
      </c>
      <c r="F6" s="6">
        <v>25</v>
      </c>
      <c r="G6" s="6">
        <v>75</v>
      </c>
      <c r="H6" s="7">
        <v>45</v>
      </c>
      <c r="L6" s="4" t="s">
        <v>8</v>
      </c>
      <c r="N6" s="1">
        <f>MOD(C14,4)</f>
        <v>2</v>
      </c>
      <c r="O6" s="1">
        <f t="shared" ref="O6:S6" si="0">MOD(D14,4)</f>
        <v>3</v>
      </c>
      <c r="P6" s="1">
        <f t="shared" si="0"/>
        <v>3</v>
      </c>
      <c r="Q6" s="1">
        <f t="shared" si="0"/>
        <v>1</v>
      </c>
      <c r="R6" s="1">
        <f t="shared" si="0"/>
        <v>3</v>
      </c>
      <c r="S6" s="1">
        <f t="shared" si="0"/>
        <v>1</v>
      </c>
      <c r="T6" s="4">
        <f>SUM(N6:S6)</f>
        <v>13</v>
      </c>
      <c r="X6" s="8" t="s">
        <v>0</v>
      </c>
      <c r="Y6" s="8" t="s">
        <v>9</v>
      </c>
    </row>
    <row r="7" spans="1:25" ht="15" x14ac:dyDescent="0.25">
      <c r="A7" s="9">
        <v>39</v>
      </c>
      <c r="B7" s="10">
        <v>40</v>
      </c>
      <c r="C7" s="11">
        <v>30</v>
      </c>
      <c r="D7" s="12">
        <v>35</v>
      </c>
      <c r="E7" s="12">
        <v>15</v>
      </c>
      <c r="F7" s="12">
        <v>25</v>
      </c>
      <c r="G7" s="13" t="s">
        <v>26</v>
      </c>
      <c r="H7" s="14">
        <v>45</v>
      </c>
      <c r="I7" s="15"/>
      <c r="L7" s="4" t="s">
        <v>10</v>
      </c>
      <c r="N7" s="1">
        <v>10</v>
      </c>
      <c r="O7" s="1">
        <v>11</v>
      </c>
      <c r="P7" s="1">
        <v>15</v>
      </c>
      <c r="Q7" s="1">
        <v>0</v>
      </c>
      <c r="R7" s="1">
        <v>0</v>
      </c>
      <c r="S7" s="1">
        <v>5</v>
      </c>
      <c r="T7" s="4">
        <f>SUM(N7:S7)</f>
        <v>41</v>
      </c>
      <c r="X7" s="9">
        <v>39</v>
      </c>
      <c r="Y7" s="10">
        <v>40</v>
      </c>
    </row>
    <row r="8" spans="1:25" ht="15" x14ac:dyDescent="0.25">
      <c r="A8" s="16">
        <v>40</v>
      </c>
      <c r="B8" s="17">
        <v>40</v>
      </c>
      <c r="C8" s="18">
        <v>30</v>
      </c>
      <c r="D8" s="19">
        <v>35</v>
      </c>
      <c r="E8" s="19">
        <v>15</v>
      </c>
      <c r="F8" s="19">
        <v>25</v>
      </c>
      <c r="G8" s="20">
        <v>35</v>
      </c>
      <c r="H8" s="21" t="s">
        <v>27</v>
      </c>
      <c r="L8" s="4" t="s">
        <v>11</v>
      </c>
      <c r="T8" s="4"/>
      <c r="X8" s="16">
        <v>40</v>
      </c>
      <c r="Y8" s="17">
        <v>40</v>
      </c>
    </row>
    <row r="9" spans="1:25" ht="15" x14ac:dyDescent="0.25">
      <c r="A9" s="16">
        <v>33</v>
      </c>
      <c r="B9" s="17">
        <v>36</v>
      </c>
      <c r="C9" s="18">
        <v>30</v>
      </c>
      <c r="D9" s="19">
        <v>35</v>
      </c>
      <c r="E9" s="19">
        <v>15</v>
      </c>
      <c r="F9" s="19">
        <v>25</v>
      </c>
      <c r="G9" s="20">
        <v>35</v>
      </c>
      <c r="H9" s="22">
        <v>5</v>
      </c>
      <c r="N9" s="1">
        <v>1</v>
      </c>
      <c r="T9" s="4"/>
      <c r="X9" s="16">
        <v>33</v>
      </c>
      <c r="Y9" s="17">
        <v>36</v>
      </c>
    </row>
    <row r="10" spans="1:25" ht="15" x14ac:dyDescent="0.25">
      <c r="A10" s="16">
        <v>20</v>
      </c>
      <c r="B10" s="17">
        <v>20</v>
      </c>
      <c r="C10" s="23" t="s">
        <v>28</v>
      </c>
      <c r="D10" s="19">
        <v>35</v>
      </c>
      <c r="E10" s="19">
        <v>15</v>
      </c>
      <c r="F10" s="19">
        <v>25</v>
      </c>
      <c r="G10" s="20">
        <v>35</v>
      </c>
      <c r="H10" s="22">
        <v>5</v>
      </c>
      <c r="N10" s="1">
        <v>0</v>
      </c>
      <c r="T10" s="4"/>
      <c r="X10" s="16">
        <v>20</v>
      </c>
      <c r="Y10" s="17">
        <v>20</v>
      </c>
    </row>
    <row r="11" spans="1:25" ht="15.75" thickBot="1" x14ac:dyDescent="0.3">
      <c r="A11" s="24">
        <v>21</v>
      </c>
      <c r="B11" s="25">
        <v>24</v>
      </c>
      <c r="C11" s="26">
        <v>10</v>
      </c>
      <c r="D11" s="27" t="s">
        <v>29</v>
      </c>
      <c r="E11" s="27">
        <v>15</v>
      </c>
      <c r="F11" s="27">
        <v>25</v>
      </c>
      <c r="G11" s="28">
        <v>35</v>
      </c>
      <c r="H11" s="29">
        <v>5</v>
      </c>
      <c r="N11" s="30">
        <v>3</v>
      </c>
      <c r="O11" s="1" t="s">
        <v>12</v>
      </c>
      <c r="T11" s="4">
        <f>SUM(N9:N10)+SUM(N12:N13)</f>
        <v>4</v>
      </c>
      <c r="X11" s="24">
        <v>21</v>
      </c>
      <c r="Y11" s="25">
        <v>24</v>
      </c>
    </row>
    <row r="12" spans="1:25" x14ac:dyDescent="0.2">
      <c r="N12" s="1">
        <v>0</v>
      </c>
    </row>
    <row r="13" spans="1:25" ht="15" x14ac:dyDescent="0.25">
      <c r="A13" s="4" t="s">
        <v>13</v>
      </c>
      <c r="B13" s="4"/>
      <c r="C13" s="4"/>
      <c r="D13" s="4"/>
      <c r="E13" s="4"/>
      <c r="F13" s="4"/>
      <c r="G13" s="4"/>
      <c r="H13" s="4"/>
      <c r="N13" s="1">
        <v>3</v>
      </c>
    </row>
    <row r="14" spans="1:25" ht="15" x14ac:dyDescent="0.25">
      <c r="A14" s="4" t="s">
        <v>14</v>
      </c>
      <c r="B14" s="4"/>
      <c r="C14" s="31">
        <v>10</v>
      </c>
      <c r="D14" s="31">
        <v>11</v>
      </c>
      <c r="E14" s="31">
        <v>15</v>
      </c>
      <c r="F14" s="31">
        <v>25</v>
      </c>
      <c r="G14" s="31">
        <v>35</v>
      </c>
      <c r="H14" s="31">
        <v>5</v>
      </c>
    </row>
    <row r="15" spans="1:25" ht="15" x14ac:dyDescent="0.25">
      <c r="A15" s="4" t="s">
        <v>15</v>
      </c>
      <c r="B15" s="4"/>
      <c r="C15" s="4" t="s">
        <v>16</v>
      </c>
      <c r="D15" s="4"/>
      <c r="E15" s="4"/>
      <c r="F15" s="4"/>
      <c r="G15" s="4"/>
      <c r="H15" s="4"/>
      <c r="L15" s="4" t="s">
        <v>17</v>
      </c>
      <c r="M15" s="4"/>
      <c r="N15" s="4"/>
      <c r="O15" s="32">
        <f>(T6+T7+T11)/SUM(C6:H6)</f>
        <v>0.25777777777777777</v>
      </c>
      <c r="Q15" s="1" t="s">
        <v>30</v>
      </c>
    </row>
    <row r="16" spans="1:25" ht="15" x14ac:dyDescent="0.25">
      <c r="A16" s="4"/>
      <c r="B16" s="4"/>
      <c r="C16" s="4"/>
      <c r="D16" s="4"/>
      <c r="E16" s="4"/>
      <c r="F16" s="4"/>
      <c r="G16" s="4"/>
      <c r="H16" s="4"/>
    </row>
    <row r="19" spans="1:20" ht="15.75" thickBot="1" x14ac:dyDescent="0.3">
      <c r="A19" s="4" t="s">
        <v>18</v>
      </c>
    </row>
    <row r="20" spans="1:20" ht="15" thickBot="1" x14ac:dyDescent="0.25">
      <c r="A20" s="3"/>
      <c r="B20" s="3"/>
      <c r="C20" s="41" t="s">
        <v>2</v>
      </c>
      <c r="D20" s="42"/>
      <c r="E20" s="42"/>
      <c r="F20" s="42"/>
      <c r="G20" s="42"/>
      <c r="H20" s="43"/>
      <c r="L20" s="1" t="s">
        <v>6</v>
      </c>
      <c r="O20" s="1">
        <v>20</v>
      </c>
      <c r="T20" s="1" t="s">
        <v>7</v>
      </c>
    </row>
    <row r="21" spans="1:20" ht="15" thickBot="1" x14ac:dyDescent="0.25">
      <c r="A21" s="2" t="s">
        <v>0</v>
      </c>
      <c r="B21" s="2" t="s">
        <v>1</v>
      </c>
      <c r="C21" s="5">
        <v>30</v>
      </c>
      <c r="D21" s="6">
        <v>35</v>
      </c>
      <c r="E21" s="6">
        <v>15</v>
      </c>
      <c r="F21" s="6">
        <v>25</v>
      </c>
      <c r="G21" s="6">
        <v>75</v>
      </c>
      <c r="H21" s="7">
        <v>45</v>
      </c>
      <c r="L21" s="1" t="s">
        <v>8</v>
      </c>
      <c r="N21" s="1">
        <f>MOD(C29,4)</f>
        <v>2</v>
      </c>
      <c r="O21" s="1">
        <f t="shared" ref="O21:S21" si="1">MOD(D29,4)</f>
        <v>3</v>
      </c>
      <c r="P21" s="1">
        <f t="shared" si="1"/>
        <v>3</v>
      </c>
      <c r="Q21" s="1">
        <f t="shared" si="1"/>
        <v>1</v>
      </c>
      <c r="R21" s="1">
        <f t="shared" si="1"/>
        <v>3</v>
      </c>
      <c r="S21" s="1">
        <f t="shared" si="1"/>
        <v>1</v>
      </c>
      <c r="T21" s="1">
        <f>SUM(N21:S21)</f>
        <v>13</v>
      </c>
    </row>
    <row r="22" spans="1:20" x14ac:dyDescent="0.2">
      <c r="A22" s="33">
        <v>39</v>
      </c>
      <c r="B22" s="33">
        <v>40</v>
      </c>
      <c r="C22" s="11">
        <v>30</v>
      </c>
      <c r="D22" s="12">
        <v>35</v>
      </c>
      <c r="E22" s="12">
        <v>15</v>
      </c>
      <c r="F22" s="12">
        <v>25</v>
      </c>
      <c r="G22" s="12" t="s">
        <v>19</v>
      </c>
      <c r="H22" s="14">
        <v>45</v>
      </c>
      <c r="I22" s="15"/>
      <c r="L22" s="1" t="s">
        <v>10</v>
      </c>
      <c r="N22" s="1">
        <v>10</v>
      </c>
      <c r="O22" s="1">
        <v>11</v>
      </c>
      <c r="P22" s="1">
        <v>15</v>
      </c>
      <c r="Q22" s="1">
        <v>0</v>
      </c>
      <c r="R22" s="1">
        <v>0</v>
      </c>
      <c r="S22" s="1">
        <v>5</v>
      </c>
      <c r="T22" s="1">
        <f>SUM(N22:S22)</f>
        <v>41</v>
      </c>
    </row>
    <row r="23" spans="1:20" x14ac:dyDescent="0.2">
      <c r="A23" s="34">
        <v>40</v>
      </c>
      <c r="B23" s="34">
        <v>40</v>
      </c>
      <c r="C23" s="18">
        <v>30</v>
      </c>
      <c r="D23" s="19">
        <v>35</v>
      </c>
      <c r="E23" s="19">
        <v>15</v>
      </c>
      <c r="F23" s="19">
        <v>25</v>
      </c>
      <c r="G23" s="19">
        <v>35</v>
      </c>
      <c r="H23" s="35" t="s">
        <v>20</v>
      </c>
      <c r="L23" s="1" t="s">
        <v>11</v>
      </c>
    </row>
    <row r="24" spans="1:20" x14ac:dyDescent="0.2">
      <c r="A24" s="34">
        <v>33</v>
      </c>
      <c r="B24" s="34">
        <v>36</v>
      </c>
      <c r="C24" s="18">
        <v>30</v>
      </c>
      <c r="D24" s="19">
        <v>35</v>
      </c>
      <c r="E24" s="19">
        <v>15</v>
      </c>
      <c r="F24" s="19">
        <v>25</v>
      </c>
      <c r="G24" s="19">
        <v>35</v>
      </c>
      <c r="H24" s="35">
        <v>5</v>
      </c>
      <c r="N24" s="1">
        <v>1</v>
      </c>
    </row>
    <row r="25" spans="1:20" x14ac:dyDescent="0.2">
      <c r="A25" s="34">
        <v>20</v>
      </c>
      <c r="B25" s="34">
        <v>20</v>
      </c>
      <c r="C25" s="18" t="s">
        <v>21</v>
      </c>
      <c r="D25" s="19">
        <v>35</v>
      </c>
      <c r="E25" s="19">
        <v>15</v>
      </c>
      <c r="F25" s="19">
        <v>25</v>
      </c>
      <c r="G25" s="19">
        <v>35</v>
      </c>
      <c r="H25" s="35">
        <v>5</v>
      </c>
      <c r="N25" s="1">
        <v>0</v>
      </c>
    </row>
    <row r="26" spans="1:20" ht="15" thickBot="1" x14ac:dyDescent="0.25">
      <c r="A26" s="36">
        <v>21</v>
      </c>
      <c r="B26" s="36">
        <v>24</v>
      </c>
      <c r="C26" s="37">
        <v>10</v>
      </c>
      <c r="D26" s="27" t="s">
        <v>22</v>
      </c>
      <c r="E26" s="27">
        <v>15</v>
      </c>
      <c r="F26" s="27">
        <v>25</v>
      </c>
      <c r="G26" s="27">
        <v>35</v>
      </c>
      <c r="H26" s="38">
        <v>5</v>
      </c>
      <c r="N26" s="30">
        <v>3</v>
      </c>
      <c r="O26" s="1" t="s">
        <v>12</v>
      </c>
      <c r="T26" s="1">
        <f>SUM(N24:N25)+SUM(N27:N28)</f>
        <v>4</v>
      </c>
    </row>
    <row r="27" spans="1:20" x14ac:dyDescent="0.2">
      <c r="N27" s="1">
        <v>0</v>
      </c>
    </row>
    <row r="28" spans="1:20" x14ac:dyDescent="0.2">
      <c r="A28" s="1" t="s">
        <v>13</v>
      </c>
      <c r="N28" s="1">
        <v>3</v>
      </c>
    </row>
    <row r="29" spans="1:20" x14ac:dyDescent="0.2">
      <c r="A29" s="1" t="s">
        <v>14</v>
      </c>
      <c r="C29" s="15">
        <v>10</v>
      </c>
      <c r="D29" s="15">
        <v>11</v>
      </c>
      <c r="E29" s="15">
        <v>15</v>
      </c>
      <c r="F29" s="15">
        <v>25</v>
      </c>
      <c r="G29" s="15">
        <v>35</v>
      </c>
      <c r="H29" s="15">
        <v>5</v>
      </c>
    </row>
    <row r="30" spans="1:20" x14ac:dyDescent="0.2">
      <c r="A30" s="1" t="s">
        <v>15</v>
      </c>
      <c r="C30" s="1" t="s">
        <v>16</v>
      </c>
      <c r="L30" s="1" t="s">
        <v>17</v>
      </c>
      <c r="O30" s="39">
        <f>(T21+T22+T26)/SUM(C21:H21)</f>
        <v>0.25777777777777777</v>
      </c>
      <c r="Q30" s="1" t="s">
        <v>23</v>
      </c>
    </row>
    <row r="33" spans="1:20" ht="15.75" thickBot="1" x14ac:dyDescent="0.3">
      <c r="A33" s="4" t="s">
        <v>24</v>
      </c>
    </row>
    <row r="34" spans="1:20" ht="15" thickBot="1" x14ac:dyDescent="0.25">
      <c r="A34" s="3"/>
      <c r="B34" s="3"/>
      <c r="C34" s="41" t="s">
        <v>2</v>
      </c>
      <c r="D34" s="42"/>
      <c r="E34" s="42"/>
      <c r="F34" s="42"/>
      <c r="G34" s="42"/>
      <c r="H34" s="43"/>
      <c r="L34" s="1" t="s">
        <v>6</v>
      </c>
      <c r="O34" s="1">
        <v>20</v>
      </c>
      <c r="T34" s="1" t="s">
        <v>7</v>
      </c>
    </row>
    <row r="35" spans="1:20" ht="15" thickBot="1" x14ac:dyDescent="0.25">
      <c r="A35" s="2" t="s">
        <v>0</v>
      </c>
      <c r="B35" s="2" t="s">
        <v>1</v>
      </c>
      <c r="C35" s="5">
        <v>30</v>
      </c>
      <c r="D35" s="6">
        <v>35</v>
      </c>
      <c r="E35" s="6">
        <v>15</v>
      </c>
      <c r="F35" s="6">
        <v>25</v>
      </c>
      <c r="G35" s="6">
        <v>75</v>
      </c>
      <c r="H35" s="7">
        <v>45</v>
      </c>
      <c r="L35" s="1" t="s">
        <v>8</v>
      </c>
      <c r="N35" s="1">
        <f>MOD(C43,4)</f>
        <v>2</v>
      </c>
      <c r="O35" s="1">
        <f t="shared" ref="O35:S35" si="2">MOD(D43,4)</f>
        <v>3</v>
      </c>
      <c r="P35" s="1">
        <f t="shared" si="2"/>
        <v>3</v>
      </c>
      <c r="Q35" s="1">
        <f t="shared" si="2"/>
        <v>1</v>
      </c>
      <c r="R35" s="1">
        <f t="shared" si="2"/>
        <v>3</v>
      </c>
      <c r="S35" s="1">
        <f t="shared" si="2"/>
        <v>1</v>
      </c>
      <c r="T35" s="1">
        <f>SUM(N35:S35)</f>
        <v>13</v>
      </c>
    </row>
    <row r="36" spans="1:20" x14ac:dyDescent="0.2">
      <c r="A36" s="33">
        <v>39</v>
      </c>
      <c r="B36" s="33">
        <v>40</v>
      </c>
      <c r="C36" s="11">
        <v>30</v>
      </c>
      <c r="D36" s="12">
        <v>35</v>
      </c>
      <c r="E36" s="12">
        <v>15</v>
      </c>
      <c r="F36" s="12">
        <v>25</v>
      </c>
      <c r="G36" s="12">
        <v>75</v>
      </c>
      <c r="H36" s="14">
        <v>45</v>
      </c>
      <c r="I36" s="15"/>
      <c r="L36" s="1" t="s">
        <v>10</v>
      </c>
      <c r="N36" s="1">
        <v>10</v>
      </c>
      <c r="O36" s="1">
        <v>11</v>
      </c>
      <c r="P36" s="1">
        <v>15</v>
      </c>
      <c r="Q36" s="1">
        <v>0</v>
      </c>
      <c r="R36" s="1">
        <v>0</v>
      </c>
      <c r="S36" s="1">
        <v>5</v>
      </c>
      <c r="T36" s="1">
        <f>SUM(N36:S36)</f>
        <v>41</v>
      </c>
    </row>
    <row r="37" spans="1:20" x14ac:dyDescent="0.2">
      <c r="A37" s="34">
        <v>40</v>
      </c>
      <c r="B37" s="34">
        <v>40</v>
      </c>
      <c r="C37" s="18">
        <v>30</v>
      </c>
      <c r="D37" s="19">
        <v>35</v>
      </c>
      <c r="E37" s="19">
        <v>15</v>
      </c>
      <c r="F37" s="19">
        <v>25</v>
      </c>
      <c r="G37" s="19">
        <v>35</v>
      </c>
      <c r="H37" s="35" t="s">
        <v>20</v>
      </c>
      <c r="L37" s="1" t="s">
        <v>11</v>
      </c>
    </row>
    <row r="38" spans="1:20" x14ac:dyDescent="0.2">
      <c r="A38" s="34">
        <v>33</v>
      </c>
      <c r="B38" s="34">
        <v>36</v>
      </c>
      <c r="C38" s="18">
        <v>30</v>
      </c>
      <c r="D38" s="19">
        <v>35</v>
      </c>
      <c r="E38" s="19">
        <v>15</v>
      </c>
      <c r="F38" s="19">
        <v>25</v>
      </c>
      <c r="G38" s="19">
        <v>35</v>
      </c>
      <c r="H38" s="35">
        <v>5</v>
      </c>
      <c r="N38" s="1">
        <v>1</v>
      </c>
    </row>
    <row r="39" spans="1:20" x14ac:dyDescent="0.2">
      <c r="A39" s="34">
        <v>20</v>
      </c>
      <c r="B39" s="34">
        <v>20</v>
      </c>
      <c r="C39" s="18" t="s">
        <v>21</v>
      </c>
      <c r="D39" s="19">
        <v>35</v>
      </c>
      <c r="E39" s="19">
        <v>15</v>
      </c>
      <c r="F39" s="19">
        <v>25</v>
      </c>
      <c r="G39" s="19">
        <v>35</v>
      </c>
      <c r="H39" s="35">
        <v>5</v>
      </c>
      <c r="N39" s="1">
        <v>0</v>
      </c>
    </row>
    <row r="40" spans="1:20" ht="15" thickBot="1" x14ac:dyDescent="0.25">
      <c r="A40" s="36">
        <v>21</v>
      </c>
      <c r="B40" s="36">
        <v>24</v>
      </c>
      <c r="C40" s="37">
        <v>10</v>
      </c>
      <c r="D40" s="27" t="s">
        <v>22</v>
      </c>
      <c r="E40" s="27">
        <v>15</v>
      </c>
      <c r="F40" s="27">
        <v>25</v>
      </c>
      <c r="G40" s="27">
        <v>35</v>
      </c>
      <c r="H40" s="38">
        <v>5</v>
      </c>
      <c r="N40" s="30">
        <v>3</v>
      </c>
      <c r="O40" s="1" t="s">
        <v>12</v>
      </c>
      <c r="T40" s="1">
        <f>SUM(N38:N39)+SUM(N41:N42)</f>
        <v>4</v>
      </c>
    </row>
    <row r="41" spans="1:20" x14ac:dyDescent="0.2">
      <c r="N41" s="1">
        <v>0</v>
      </c>
    </row>
    <row r="42" spans="1:20" x14ac:dyDescent="0.2">
      <c r="A42" s="1" t="s">
        <v>13</v>
      </c>
      <c r="N42" s="1">
        <v>3</v>
      </c>
    </row>
    <row r="43" spans="1:20" x14ac:dyDescent="0.2">
      <c r="A43" s="1" t="s">
        <v>14</v>
      </c>
      <c r="C43" s="15">
        <v>6</v>
      </c>
      <c r="D43" s="15">
        <v>35</v>
      </c>
      <c r="E43" s="15">
        <v>15</v>
      </c>
      <c r="F43" s="15">
        <v>5</v>
      </c>
      <c r="G43" s="15">
        <v>35</v>
      </c>
      <c r="H43" s="15">
        <v>5</v>
      </c>
    </row>
    <row r="44" spans="1:20" x14ac:dyDescent="0.2">
      <c r="A44" s="1" t="s">
        <v>15</v>
      </c>
      <c r="C44" s="1" t="s">
        <v>16</v>
      </c>
      <c r="L44" s="1" t="s">
        <v>17</v>
      </c>
      <c r="O44" s="39">
        <f>(T35+T36+T40)/SUM(C35:H35)</f>
        <v>0.25777777777777777</v>
      </c>
      <c r="Q44" s="1" t="s">
        <v>23</v>
      </c>
    </row>
    <row r="48" spans="1:20" ht="15.75" thickBot="1" x14ac:dyDescent="0.3">
      <c r="A48" s="4" t="s">
        <v>25</v>
      </c>
    </row>
    <row r="49" spans="1:20" ht="15" thickBot="1" x14ac:dyDescent="0.25">
      <c r="A49" s="3"/>
      <c r="B49" s="3"/>
      <c r="C49" s="41" t="s">
        <v>2</v>
      </c>
      <c r="D49" s="42"/>
      <c r="E49" s="42"/>
      <c r="F49" s="42"/>
      <c r="G49" s="42"/>
      <c r="H49" s="43"/>
      <c r="L49" s="1" t="s">
        <v>6</v>
      </c>
      <c r="O49" s="1">
        <v>20</v>
      </c>
      <c r="T49" s="1" t="s">
        <v>7</v>
      </c>
    </row>
    <row r="50" spans="1:20" ht="15" thickBot="1" x14ac:dyDescent="0.25">
      <c r="A50" s="2" t="s">
        <v>0</v>
      </c>
      <c r="B50" s="2" t="s">
        <v>1</v>
      </c>
      <c r="C50" s="5">
        <v>30</v>
      </c>
      <c r="D50" s="6">
        <v>35</v>
      </c>
      <c r="E50" s="6">
        <v>15</v>
      </c>
      <c r="F50" s="6">
        <v>25</v>
      </c>
      <c r="G50" s="6">
        <v>75</v>
      </c>
      <c r="H50" s="7">
        <v>45</v>
      </c>
      <c r="L50" s="1" t="s">
        <v>8</v>
      </c>
      <c r="N50" s="1">
        <f>MOD(C58,4)</f>
        <v>2</v>
      </c>
      <c r="O50" s="1">
        <f t="shared" ref="O50:S50" si="3">MOD(D58,4)</f>
        <v>3</v>
      </c>
      <c r="P50" s="1">
        <f t="shared" si="3"/>
        <v>3</v>
      </c>
      <c r="Q50" s="1">
        <f t="shared" si="3"/>
        <v>1</v>
      </c>
      <c r="R50" s="1">
        <f t="shared" si="3"/>
        <v>3</v>
      </c>
      <c r="S50" s="1">
        <f t="shared" si="3"/>
        <v>1</v>
      </c>
      <c r="T50" s="1">
        <f>SUM(N50:S50)</f>
        <v>13</v>
      </c>
    </row>
    <row r="51" spans="1:20" x14ac:dyDescent="0.2">
      <c r="A51" s="33">
        <v>39</v>
      </c>
      <c r="B51" s="33">
        <v>40</v>
      </c>
      <c r="C51" s="11">
        <v>30</v>
      </c>
      <c r="D51" s="12">
        <v>35</v>
      </c>
      <c r="E51" s="12">
        <v>15</v>
      </c>
      <c r="F51" s="12">
        <v>25</v>
      </c>
      <c r="G51" s="12" t="s">
        <v>19</v>
      </c>
      <c r="H51" s="14">
        <v>45</v>
      </c>
      <c r="I51" s="15"/>
      <c r="L51" s="1" t="s">
        <v>10</v>
      </c>
      <c r="N51" s="1">
        <v>10</v>
      </c>
      <c r="O51" s="1">
        <v>11</v>
      </c>
      <c r="P51" s="1">
        <v>15</v>
      </c>
      <c r="Q51" s="1">
        <v>0</v>
      </c>
      <c r="R51" s="1">
        <v>0</v>
      </c>
      <c r="S51" s="1">
        <v>5</v>
      </c>
      <c r="T51" s="1">
        <f>SUM(N51:S51)</f>
        <v>41</v>
      </c>
    </row>
    <row r="52" spans="1:20" x14ac:dyDescent="0.2">
      <c r="A52" s="34">
        <v>40</v>
      </c>
      <c r="B52" s="34">
        <v>40</v>
      </c>
      <c r="C52" s="18">
        <v>30</v>
      </c>
      <c r="D52" s="19">
        <v>35</v>
      </c>
      <c r="E52" s="19">
        <v>15</v>
      </c>
      <c r="F52" s="19">
        <v>25</v>
      </c>
      <c r="G52" s="19">
        <v>35</v>
      </c>
      <c r="H52" s="35" t="s">
        <v>20</v>
      </c>
      <c r="L52" s="1" t="s">
        <v>11</v>
      </c>
    </row>
    <row r="53" spans="1:20" x14ac:dyDescent="0.2">
      <c r="A53" s="34">
        <v>33</v>
      </c>
      <c r="B53" s="34">
        <v>36</v>
      </c>
      <c r="C53" s="18">
        <v>30</v>
      </c>
      <c r="D53" s="19">
        <v>35</v>
      </c>
      <c r="E53" s="19">
        <v>15</v>
      </c>
      <c r="F53" s="19">
        <v>25</v>
      </c>
      <c r="G53" s="19">
        <v>35</v>
      </c>
      <c r="H53" s="35">
        <v>5</v>
      </c>
      <c r="N53" s="1">
        <v>1</v>
      </c>
    </row>
    <row r="54" spans="1:20" x14ac:dyDescent="0.2">
      <c r="A54" s="34">
        <v>20</v>
      </c>
      <c r="B54" s="34">
        <v>20</v>
      </c>
      <c r="C54" s="18" t="s">
        <v>21</v>
      </c>
      <c r="D54" s="19">
        <v>35</v>
      </c>
      <c r="E54" s="19">
        <v>15</v>
      </c>
      <c r="F54" s="19">
        <v>25</v>
      </c>
      <c r="G54" s="19">
        <v>35</v>
      </c>
      <c r="H54" s="35">
        <v>5</v>
      </c>
      <c r="N54" s="1">
        <v>0</v>
      </c>
    </row>
    <row r="55" spans="1:20" ht="15" thickBot="1" x14ac:dyDescent="0.25">
      <c r="A55" s="36">
        <v>21</v>
      </c>
      <c r="B55" s="36">
        <v>24</v>
      </c>
      <c r="C55" s="37">
        <v>10</v>
      </c>
      <c r="D55" s="27" t="s">
        <v>22</v>
      </c>
      <c r="E55" s="27">
        <v>15</v>
      </c>
      <c r="F55" s="27">
        <v>25</v>
      </c>
      <c r="G55" s="27">
        <v>35</v>
      </c>
      <c r="H55" s="38">
        <v>5</v>
      </c>
      <c r="N55" s="30">
        <v>3</v>
      </c>
      <c r="O55" s="1" t="s">
        <v>12</v>
      </c>
      <c r="T55" s="1">
        <f>SUM(N53:N54)+SUM(N56:N57)</f>
        <v>4</v>
      </c>
    </row>
    <row r="56" spans="1:20" x14ac:dyDescent="0.2">
      <c r="N56" s="1">
        <v>0</v>
      </c>
    </row>
    <row r="57" spans="1:20" x14ac:dyDescent="0.2">
      <c r="A57" s="1" t="s">
        <v>13</v>
      </c>
      <c r="N57" s="1">
        <v>3</v>
      </c>
    </row>
    <row r="58" spans="1:20" x14ac:dyDescent="0.2">
      <c r="A58" s="1" t="s">
        <v>14</v>
      </c>
      <c r="C58" s="15">
        <v>10</v>
      </c>
      <c r="D58" s="15">
        <v>11</v>
      </c>
      <c r="E58" s="15">
        <v>15</v>
      </c>
      <c r="F58" s="15">
        <v>25</v>
      </c>
      <c r="G58" s="15">
        <v>35</v>
      </c>
      <c r="H58" s="15">
        <v>5</v>
      </c>
    </row>
    <row r="59" spans="1:20" x14ac:dyDescent="0.2">
      <c r="A59" s="1" t="s">
        <v>15</v>
      </c>
      <c r="C59" s="1" t="s">
        <v>16</v>
      </c>
      <c r="L59" s="1" t="s">
        <v>17</v>
      </c>
      <c r="O59" s="39">
        <f>(T50+T51+T55)/SUM(C50:H50)</f>
        <v>0.25777777777777777</v>
      </c>
      <c r="Q59" s="1" t="s">
        <v>23</v>
      </c>
    </row>
    <row r="63" spans="1:20" x14ac:dyDescent="0.2">
      <c r="A63" s="1" t="s">
        <v>31</v>
      </c>
      <c r="B63" s="1" t="s">
        <v>32</v>
      </c>
      <c r="C63" s="1" t="s">
        <v>33</v>
      </c>
    </row>
    <row r="64" spans="1:20" x14ac:dyDescent="0.2">
      <c r="A64" s="1" t="s">
        <v>34</v>
      </c>
      <c r="B64" s="1">
        <v>101</v>
      </c>
      <c r="C64" s="40">
        <f>(225-B64)/225</f>
        <v>0.55111111111111111</v>
      </c>
    </row>
    <row r="65" spans="1:3" x14ac:dyDescent="0.2">
      <c r="A65" s="1" t="s">
        <v>35</v>
      </c>
      <c r="B65" s="1">
        <v>101</v>
      </c>
      <c r="C65" s="40">
        <f t="shared" ref="C65:C67" si="4">(225-B65)/225</f>
        <v>0.55111111111111111</v>
      </c>
    </row>
    <row r="66" spans="1:3" x14ac:dyDescent="0.2">
      <c r="A66" s="1" t="s">
        <v>36</v>
      </c>
      <c r="B66" s="1">
        <v>101</v>
      </c>
      <c r="C66" s="40">
        <f t="shared" si="4"/>
        <v>0.55111111111111111</v>
      </c>
    </row>
    <row r="67" spans="1:3" x14ac:dyDescent="0.2">
      <c r="A67" s="1" t="s">
        <v>37</v>
      </c>
      <c r="B67" s="1">
        <v>101</v>
      </c>
      <c r="C67" s="40">
        <f t="shared" si="4"/>
        <v>0.55111111111111111</v>
      </c>
    </row>
  </sheetData>
  <mergeCells count="6">
    <mergeCell ref="C49:H49"/>
    <mergeCell ref="C1:D1"/>
    <mergeCell ref="C2:D2"/>
    <mergeCell ref="C5:H5"/>
    <mergeCell ref="C20:H20"/>
    <mergeCell ref="C34:H34"/>
  </mergeCells>
  <pageMargins left="0.7" right="0.7" top="0.75" bottom="0.75" header="0.3" footer="0.3"/>
  <ignoredErrors>
    <ignoredError sqref="C54:D55 H52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Memória kezelés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Anita</dc:creator>
  <cp:lastModifiedBy>Zoltán Feke</cp:lastModifiedBy>
  <dcterms:created xsi:type="dcterms:W3CDTF">2015-06-05T18:19:34Z</dcterms:created>
  <dcterms:modified xsi:type="dcterms:W3CDTF">2026-04-29T12:27:20Z</dcterms:modified>
</cp:coreProperties>
</file>