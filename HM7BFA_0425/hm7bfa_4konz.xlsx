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ita\Desktop\THE\II. félév\Operációs rendszerek\Fájlok_0425\"/>
    </mc:Choice>
  </mc:AlternateContent>
  <xr:revisionPtr revIDLastSave="0" documentId="13_ncr:1_{0D76833E-9B34-4AE2-AD4B-91B9529597ED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1.task" sheetId="1" r:id="rId1"/>
    <sheet name="2.task" sheetId="2" r:id="rId2"/>
    <sheet name="FIFO" sheetId="3" r:id="rId3"/>
    <sheet name="LRU" sheetId="4" r:id="rId4"/>
    <sheet name="SC" sheetId="5" r:id="rId5"/>
    <sheet name="OPT" sheetId="6" r:id="rId6"/>
    <sheet name="Összehasonlítás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" i="1" l="1"/>
  <c r="C66" i="1"/>
  <c r="C65" i="1"/>
  <c r="C64" i="1"/>
  <c r="T55" i="1"/>
  <c r="T51" i="1"/>
  <c r="S50" i="1"/>
  <c r="R50" i="1"/>
  <c r="Q50" i="1"/>
  <c r="P50" i="1"/>
  <c r="O50" i="1"/>
  <c r="N50" i="1"/>
  <c r="T50" i="1" s="1"/>
  <c r="O59" i="1" s="1"/>
  <c r="T40" i="1"/>
  <c r="T36" i="1"/>
  <c r="S35" i="1"/>
  <c r="R35" i="1"/>
  <c r="Q35" i="1"/>
  <c r="P35" i="1"/>
  <c r="O35" i="1"/>
  <c r="N35" i="1"/>
  <c r="T35" i="1" s="1"/>
  <c r="O44" i="1" s="1"/>
  <c r="T26" i="1"/>
  <c r="T22" i="1"/>
  <c r="S21" i="1"/>
  <c r="R21" i="1"/>
  <c r="Q21" i="1"/>
  <c r="P21" i="1"/>
  <c r="O21" i="1"/>
  <c r="N21" i="1"/>
  <c r="T21" i="1" s="1"/>
  <c r="O30" i="1" s="1"/>
  <c r="T11" i="1"/>
  <c r="T7" i="1"/>
  <c r="S6" i="1"/>
  <c r="R6" i="1"/>
  <c r="Q6" i="1"/>
  <c r="P6" i="1"/>
  <c r="O6" i="1"/>
  <c r="N6" i="1"/>
  <c r="T6" i="1" s="1"/>
  <c r="O15" i="1" s="1"/>
</calcChain>
</file>

<file path=xl/sharedStrings.xml><?xml version="1.0" encoding="utf-8"?>
<sst xmlns="http://schemas.openxmlformats.org/spreadsheetml/2006/main" count="290" uniqueCount="71">
  <si>
    <t>Szabad terület</t>
  </si>
  <si>
    <t>Foglalási igény</t>
  </si>
  <si>
    <t>First FIT</t>
  </si>
  <si>
    <t>Szabad területek</t>
  </si>
  <si>
    <t>Legkisebb eddigi foglalás</t>
  </si>
  <si>
    <t>Össz:</t>
  </si>
  <si>
    <t>Igény</t>
  </si>
  <si>
    <t>Foglalható</t>
  </si>
  <si>
    <t>Maradékok</t>
  </si>
  <si>
    <t>Valós foglalás</t>
  </si>
  <si>
    <r>
      <t xml:space="preserve">40, </t>
    </r>
    <r>
      <rPr>
        <sz val="11"/>
        <color rgb="FFFF0000"/>
        <rFont val="Arial"/>
        <family val="2"/>
        <charset val="238"/>
      </rPr>
      <t>35</t>
    </r>
  </si>
  <si>
    <t>Túl kicsi blokkok</t>
  </si>
  <si>
    <r>
      <t xml:space="preserve">40, </t>
    </r>
    <r>
      <rPr>
        <b/>
        <sz val="11"/>
        <color rgb="FFFF0000"/>
        <rFont val="Arial"/>
        <family val="2"/>
        <charset val="238"/>
      </rPr>
      <t>5</t>
    </r>
  </si>
  <si>
    <t>Blokkosítás miatti belső töredezettség</t>
  </si>
  <si>
    <r>
      <t xml:space="preserve">20 , </t>
    </r>
    <r>
      <rPr>
        <b/>
        <sz val="11"/>
        <color rgb="FFFF0000"/>
        <rFont val="Arial"/>
        <family val="2"/>
        <charset val="238"/>
      </rPr>
      <t>10</t>
    </r>
  </si>
  <si>
    <r>
      <t xml:space="preserve">24 , </t>
    </r>
    <r>
      <rPr>
        <sz val="11"/>
        <color rgb="FFFF0000"/>
        <rFont val="Arial"/>
        <family val="2"/>
        <charset val="238"/>
      </rPr>
      <t>11</t>
    </r>
  </si>
  <si>
    <t>nincs foglalva</t>
  </si>
  <si>
    <t>Töredezettség</t>
  </si>
  <si>
    <t>Szabad partíciók</t>
  </si>
  <si>
    <t>Nem sikerült lefoglalni</t>
  </si>
  <si>
    <t>1 igény</t>
  </si>
  <si>
    <t>Elveszett Memóriaterület</t>
  </si>
  <si>
    <r>
      <rPr>
        <b/>
        <sz val="11"/>
        <color theme="1"/>
        <rFont val="Arial"/>
        <family val="2"/>
        <charset val="238"/>
      </rPr>
      <t>Elveszett memória :</t>
    </r>
    <r>
      <rPr>
        <sz val="11"/>
        <color theme="1"/>
        <rFont val="Arial"/>
        <family val="2"/>
        <charset val="238"/>
      </rPr>
      <t xml:space="preserve"> (maradék + túl kicsi blokk + belsőtöredezettség)/ szabadterületek összege</t>
    </r>
  </si>
  <si>
    <t>NEXT FIT</t>
  </si>
  <si>
    <t>40, 35</t>
  </si>
  <si>
    <t>40, 5</t>
  </si>
  <si>
    <t>20 , 10</t>
  </si>
  <si>
    <t>24 , 11</t>
  </si>
  <si>
    <t>Elveszett memória : (maradék + túl kicsi blokk + belsőtöredezettség)/ szabadterületek összege</t>
  </si>
  <si>
    <t>BEST FIT</t>
  </si>
  <si>
    <t>WORST FIT</t>
  </si>
  <si>
    <t>Algoritmus</t>
  </si>
  <si>
    <t>Maradék</t>
  </si>
  <si>
    <t>Kihasználtság</t>
  </si>
  <si>
    <t>First Fit</t>
  </si>
  <si>
    <t>Best Fit</t>
  </si>
  <si>
    <t>Worst Fit</t>
  </si>
  <si>
    <t>Next Fit</t>
  </si>
  <si>
    <t>Memóriakeret</t>
  </si>
  <si>
    <t>Laphivatkozások</t>
  </si>
  <si>
    <t>Igényelt lap</t>
  </si>
  <si>
    <t>1.keret</t>
  </si>
  <si>
    <t>2.keret</t>
  </si>
  <si>
    <t>3.keret</t>
  </si>
  <si>
    <t>4.keret</t>
  </si>
  <si>
    <t>Laphibák</t>
  </si>
  <si>
    <t>*</t>
  </si>
  <si>
    <t>OPT</t>
  </si>
  <si>
    <t>Laphibák száma:</t>
  </si>
  <si>
    <t>4 + 4</t>
  </si>
  <si>
    <t>OPT - optimális</t>
  </si>
  <si>
    <t>Előny : Ez adja a minimális laphiba számot</t>
  </si>
  <si>
    <t>Hátrány: a gyakorlatban megvalósíthatatlan, mert nem tudhatjuk előre a hivatkozások sorrendjét</t>
  </si>
  <si>
    <t>Az új lapot mindig annak a helyére hozzuk be, amelyre a legkésőbb fogunk(újra) hivatkozni</t>
  </si>
  <si>
    <t>Laphibák száma : 4 + 2</t>
  </si>
  <si>
    <t>Laphibák száma : 3 + 2</t>
  </si>
  <si>
    <t>Laphibák száma : 4 +2</t>
  </si>
  <si>
    <t>FIFO Vége</t>
  </si>
  <si>
    <t>Laphibák száma : 4 + 10</t>
  </si>
  <si>
    <t>Laphibák száma : 4 + 6</t>
  </si>
  <si>
    <t>1*</t>
  </si>
  <si>
    <t>Laphibák száma : 4 + 3</t>
  </si>
  <si>
    <t>Laphibák száma</t>
  </si>
  <si>
    <t>Jellemző</t>
  </si>
  <si>
    <t>FIFO</t>
  </si>
  <si>
    <t>Legrégebben betöltött lapot cseréli</t>
  </si>
  <si>
    <t>LRU</t>
  </si>
  <si>
    <t>Legrégebben használt lapot cseréli</t>
  </si>
  <si>
    <t>SC</t>
  </si>
  <si>
    <t>FIFO + második esély (referenciabit)</t>
  </si>
  <si>
    <t>Jövő alapján választ (legjobb)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</si>
</sst>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11"/>
      <color rgb="FFFF0000"/>
      <name val="Arial"/>
      <family val="2"/>
      <charset val="238"/>
    </font>
    <font>
      <b/>
      <sz val="11"/>
      <color theme="4"/>
      <name val="Arial"/>
      <family val="2"/>
      <charset val="238"/>
    </font>
    <font>
      <sz val="11"/>
      <name val="Arial"/>
      <family val="2"/>
      <charset val="238"/>
    </font>
    <font>
      <b/>
      <sz val="11"/>
      <color rgb="FFFF0000"/>
      <name val="Arial"/>
      <family val="2"/>
      <charset val="238"/>
    </font>
    <font>
      <b/>
      <sz val="11"/>
      <color rgb="FFFF0000"/>
      <name val="Calibri"/>
      <family val="2"/>
      <charset val="238"/>
      <scheme val="minor"/>
    </font>
    <font>
      <sz val="11"/>
      <color theme="6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rgb="FF00B0F0"/>
      <name val="Calibri"/>
      <family val="2"/>
      <charset val="238"/>
      <scheme val="minor"/>
    </font>
    <font>
      <sz val="11"/>
      <color theme="3"/>
      <name val="Calibri"/>
      <family val="2"/>
      <charset val="238"/>
      <scheme val="minor"/>
    </font>
    <font>
      <b/>
      <sz val="11"/>
      <color theme="0" tint="-0.499984740745262"/>
      <name val="Calibri"/>
      <family val="2"/>
      <charset val="238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4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5" fillId="0" borderId="5" xfId="0" applyFont="1" applyBorder="1"/>
    <xf numFmtId="0" fontId="7" fillId="0" borderId="9" xfId="0" applyFont="1" applyBorder="1"/>
    <xf numFmtId="0" fontId="5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8" fillId="0" borderId="11" xfId="0" applyFont="1" applyBorder="1"/>
    <xf numFmtId="0" fontId="4" fillId="0" borderId="12" xfId="0" applyFont="1" applyBorder="1"/>
    <xf numFmtId="0" fontId="6" fillId="0" borderId="0" xfId="0" applyFont="1"/>
    <xf numFmtId="0" fontId="7" fillId="0" borderId="13" xfId="0" applyFont="1" applyBorder="1"/>
    <xf numFmtId="0" fontId="5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6" fillId="0" borderId="15" xfId="0" applyFont="1" applyBorder="1"/>
    <xf numFmtId="0" fontId="5" fillId="0" borderId="16" xfId="0" applyFont="1" applyBorder="1"/>
    <xf numFmtId="0" fontId="9" fillId="0" borderId="16" xfId="0" applyFont="1" applyBorder="1"/>
    <xf numFmtId="0" fontId="5" fillId="0" borderId="14" xfId="0" applyFont="1" applyBorder="1"/>
    <xf numFmtId="0" fontId="7" fillId="0" borderId="17" xfId="0" applyFont="1" applyBorder="1"/>
    <xf numFmtId="0" fontId="5" fillId="0" borderId="17" xfId="0" applyFont="1" applyBorder="1"/>
    <xf numFmtId="0" fontId="9" fillId="0" borderId="18" xfId="0" applyFont="1" applyBorder="1"/>
    <xf numFmtId="0" fontId="4" fillId="0" borderId="19" xfId="0" applyFont="1" applyBorder="1"/>
    <xf numFmtId="0" fontId="6" fillId="0" borderId="19" xfId="0" applyFont="1" applyBorder="1"/>
    <xf numFmtId="0" fontId="9" fillId="0" borderId="20" xfId="0" applyFont="1" applyBorder="1"/>
    <xf numFmtId="0" fontId="4" fillId="2" borderId="0" xfId="0" applyFont="1" applyFill="1"/>
    <xf numFmtId="0" fontId="9" fillId="0" borderId="0" xfId="0" applyFont="1"/>
    <xf numFmtId="10" fontId="5" fillId="0" borderId="0" xfId="1" applyNumberFormat="1" applyFont="1"/>
    <xf numFmtId="0" fontId="4" fillId="0" borderId="9" xfId="0" applyFont="1" applyBorder="1"/>
    <xf numFmtId="0" fontId="4" fillId="0" borderId="13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20" xfId="0" applyFont="1" applyBorder="1"/>
    <xf numFmtId="10" fontId="4" fillId="0" borderId="0" xfId="1" applyNumberFormat="1" applyFont="1"/>
    <xf numFmtId="164" fontId="4" fillId="0" borderId="0" xfId="0" applyNumberFormat="1" applyFont="1"/>
    <xf numFmtId="0" fontId="3" fillId="0" borderId="5" xfId="0" applyFont="1" applyBorder="1"/>
    <xf numFmtId="0" fontId="3" fillId="0" borderId="21" xfId="0" applyFont="1" applyBorder="1" applyAlignment="1">
      <alignment horizontal="center"/>
    </xf>
    <xf numFmtId="0" fontId="3" fillId="0" borderId="23" xfId="0" applyFont="1" applyBorder="1"/>
    <xf numFmtId="0" fontId="3" fillId="0" borderId="24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5" xfId="0" applyFont="1" applyBorder="1"/>
    <xf numFmtId="0" fontId="3" fillId="0" borderId="26" xfId="0" applyFont="1" applyBorder="1"/>
    <xf numFmtId="0" fontId="0" fillId="0" borderId="27" xfId="0" applyBorder="1"/>
    <xf numFmtId="0" fontId="10" fillId="0" borderId="27" xfId="0" applyFont="1" applyBorder="1"/>
    <xf numFmtId="0" fontId="3" fillId="0" borderId="0" xfId="0" applyFont="1"/>
    <xf numFmtId="0" fontId="3" fillId="0" borderId="28" xfId="0" applyFont="1" applyBorder="1"/>
    <xf numFmtId="0" fontId="11" fillId="0" borderId="0" xfId="0" applyFont="1"/>
    <xf numFmtId="0" fontId="10" fillId="0" borderId="0" xfId="0" applyFont="1"/>
    <xf numFmtId="0" fontId="11" fillId="0" borderId="28" xfId="0" applyFont="1" applyBorder="1"/>
    <xf numFmtId="0" fontId="3" fillId="0" borderId="27" xfId="0" applyFont="1" applyBorder="1"/>
    <xf numFmtId="0" fontId="10" fillId="0" borderId="28" xfId="0" applyFont="1" applyBorder="1"/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3" fillId="0" borderId="32" xfId="0" applyFont="1" applyBorder="1"/>
    <xf numFmtId="0" fontId="0" fillId="0" borderId="33" xfId="0" applyBorder="1"/>
    <xf numFmtId="0" fontId="0" fillId="0" borderId="24" xfId="0" applyBorder="1"/>
    <xf numFmtId="0" fontId="0" fillId="0" borderId="21" xfId="0" applyBorder="1"/>
    <xf numFmtId="0" fontId="0" fillId="0" borderId="22" xfId="0" applyBorder="1"/>
    <xf numFmtId="0" fontId="12" fillId="0" borderId="0" xfId="0" applyFont="1"/>
    <xf numFmtId="0" fontId="13" fillId="0" borderId="23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4" fillId="0" borderId="0" xfId="0" applyFont="1"/>
    <xf numFmtId="0" fontId="10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14" fillId="0" borderId="27" xfId="0" applyFont="1" applyBorder="1"/>
    <xf numFmtId="165" fontId="10" fillId="0" borderId="0" xfId="0" applyNumberFormat="1" applyFont="1"/>
    <xf numFmtId="165" fontId="3" fillId="0" borderId="0" xfId="0" applyNumberFormat="1" applyFont="1"/>
    <xf numFmtId="165" fontId="11" fillId="0" borderId="0" xfId="0" applyNumberFormat="1" applyFont="1"/>
    <xf numFmtId="165" fontId="14" fillId="0" borderId="0" xfId="0" applyNumberFormat="1" applyFont="1"/>
    <xf numFmtId="165" fontId="10" fillId="0" borderId="28" xfId="0" applyNumberFormat="1" applyFont="1" applyBorder="1"/>
    <xf numFmtId="0" fontId="2" fillId="0" borderId="0" xfId="0" applyFont="1"/>
    <xf numFmtId="0" fontId="10" fillId="0" borderId="26" xfId="0" applyFont="1" applyBorder="1"/>
    <xf numFmtId="0" fontId="10" fillId="0" borderId="25" xfId="0" applyFont="1" applyBorder="1"/>
    <xf numFmtId="1" fontId="14" fillId="0" borderId="29" xfId="0" applyNumberFormat="1" applyFont="1" applyBorder="1"/>
    <xf numFmtId="1" fontId="14" fillId="0" borderId="30" xfId="0" applyNumberFormat="1" applyFont="1" applyBorder="1"/>
    <xf numFmtId="1" fontId="10" fillId="0" borderId="30" xfId="0" applyNumberFormat="1" applyFont="1" applyBorder="1"/>
    <xf numFmtId="1" fontId="3" fillId="0" borderId="30" xfId="0" applyNumberFormat="1" applyFont="1" applyBorder="1"/>
    <xf numFmtId="1" fontId="12" fillId="0" borderId="30" xfId="0" applyNumberFormat="1" applyFont="1" applyBorder="1"/>
    <xf numFmtId="1" fontId="14" fillId="0" borderId="27" xfId="0" applyNumberFormat="1" applyFont="1" applyBorder="1"/>
    <xf numFmtId="1" fontId="14" fillId="0" borderId="0" xfId="0" applyNumberFormat="1" applyFont="1"/>
    <xf numFmtId="1" fontId="3" fillId="0" borderId="0" xfId="0" applyNumberFormat="1" applyFont="1"/>
    <xf numFmtId="1" fontId="2" fillId="0" borderId="0" xfId="0" applyNumberFormat="1" applyFont="1"/>
    <xf numFmtId="1" fontId="10" fillId="0" borderId="0" xfId="0" applyNumberFormat="1" applyFont="1"/>
    <xf numFmtId="1" fontId="0" fillId="0" borderId="24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23" xfId="0" applyNumberFormat="1" applyBorder="1"/>
    <xf numFmtId="1" fontId="0" fillId="0" borderId="25" xfId="0" applyNumberFormat="1" applyBorder="1"/>
    <xf numFmtId="1" fontId="0" fillId="0" borderId="26" xfId="0" applyNumberFormat="1" applyBorder="1"/>
    <xf numFmtId="1" fontId="12" fillId="0" borderId="0" xfId="0" applyNumberFormat="1" applyFont="1"/>
    <xf numFmtId="1" fontId="15" fillId="0" borderId="30" xfId="0" applyNumberFormat="1" applyFont="1" applyBorder="1"/>
    <xf numFmtId="1" fontId="15" fillId="0" borderId="0" xfId="0" applyNumberFormat="1" applyFont="1"/>
    <xf numFmtId="1" fontId="16" fillId="0" borderId="0" xfId="0" applyNumberFormat="1" applyFont="1"/>
    <xf numFmtId="1" fontId="17" fillId="0" borderId="30" xfId="0" applyNumberFormat="1" applyFont="1" applyBorder="1"/>
    <xf numFmtId="1" fontId="18" fillId="0" borderId="30" xfId="0" applyNumberFormat="1" applyFont="1" applyBorder="1"/>
    <xf numFmtId="1" fontId="18" fillId="0" borderId="31" xfId="0" applyNumberFormat="1" applyFont="1" applyBorder="1"/>
    <xf numFmtId="1" fontId="17" fillId="0" borderId="0" xfId="0" applyNumberFormat="1" applyFont="1"/>
    <xf numFmtId="1" fontId="18" fillId="0" borderId="0" xfId="0" applyNumberFormat="1" applyFont="1"/>
    <xf numFmtId="1" fontId="17" fillId="0" borderId="28" xfId="0" applyNumberFormat="1" applyFont="1" applyBorder="1"/>
    <xf numFmtId="1" fontId="18" fillId="0" borderId="28" xfId="0" applyNumberFormat="1" applyFont="1" applyBorder="1"/>
    <xf numFmtId="1" fontId="18" fillId="0" borderId="21" xfId="0" applyNumberFormat="1" applyFont="1" applyBorder="1" applyAlignment="1">
      <alignment horizontal="center"/>
    </xf>
    <xf numFmtId="1" fontId="18" fillId="0" borderId="21" xfId="0" applyNumberFormat="1" applyFont="1" applyBorder="1"/>
    <xf numFmtId="1" fontId="18" fillId="0" borderId="22" xfId="0" applyNumberFormat="1" applyFont="1" applyBorder="1"/>
    <xf numFmtId="0" fontId="0" fillId="0" borderId="31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Memória kezelés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'[1]Memória kezelés'!$A$64</c:f>
              <c:strCache>
                <c:ptCount val="1"/>
                <c:pt idx="0">
                  <c:v>First 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'[1]Memória kezelés'!$B$63:$C$63</c:f>
              <c:strCache>
                <c:ptCount val="2"/>
                <c:pt idx="0">
                  <c:v>Maradék</c:v>
                </c:pt>
                <c:pt idx="1">
                  <c:v>Kihasználtság</c:v>
                </c:pt>
              </c:strCache>
            </c:strRef>
          </c:cat>
          <c:val>
            <c:numRef>
              <c:f>'[1]Memória kezelés'!$B$64:$C$64</c:f>
              <c:numCache>
                <c:formatCode>General</c:formatCode>
                <c:ptCount val="2"/>
                <c:pt idx="0">
                  <c:v>101</c:v>
                </c:pt>
                <c:pt idx="1">
                  <c:v>0.55111111111111111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6-4056-BDF0-FA7451B268B6}"/>
            </c:ext>
          </c:extLst>
        </c:ser>
        <c:ser>
          <c:idx val="1"/>
          <c:order val="1"/>
          <c:tx>
            <c:strRef>
              <c:f>'[1]Memória kezelés'!$A$65</c:f>
              <c:strCache>
                <c:ptCount val="1"/>
                <c:pt idx="0">
                  <c:v>Best 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'[1]Memória kezelés'!$B$63:$C$63</c:f>
              <c:strCache>
                <c:ptCount val="2"/>
                <c:pt idx="0">
                  <c:v>Maradék</c:v>
                </c:pt>
                <c:pt idx="1">
                  <c:v>Kihasználtság</c:v>
                </c:pt>
              </c:strCache>
            </c:strRef>
          </c:cat>
          <c:val>
            <c:numRef>
              <c:f>'[1]Memória kezelés'!$B$65:$C$65</c:f>
              <c:numCache>
                <c:formatCode>General</c:formatCode>
                <c:ptCount val="2"/>
                <c:pt idx="0">
                  <c:v>101</c:v>
                </c:pt>
                <c:pt idx="1">
                  <c:v>0.55111111111111111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76-4056-BDF0-FA7451B268B6}"/>
            </c:ext>
          </c:extLst>
        </c:ser>
        <c:ser>
          <c:idx val="2"/>
          <c:order val="2"/>
          <c:tx>
            <c:strRef>
              <c:f>'[1]Memória kezelés'!$A$66</c:f>
              <c:strCache>
                <c:ptCount val="1"/>
                <c:pt idx="0">
                  <c:v>Worst 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'[1]Memória kezelés'!$B$63:$C$63</c:f>
              <c:strCache>
                <c:ptCount val="2"/>
                <c:pt idx="0">
                  <c:v>Maradék</c:v>
                </c:pt>
                <c:pt idx="1">
                  <c:v>Kihasználtság</c:v>
                </c:pt>
              </c:strCache>
            </c:strRef>
          </c:cat>
          <c:val>
            <c:numRef>
              <c:f>'[1]Memória kezelés'!$B$66:$C$66</c:f>
              <c:numCache>
                <c:formatCode>General</c:formatCode>
                <c:ptCount val="2"/>
                <c:pt idx="0">
                  <c:v>101</c:v>
                </c:pt>
                <c:pt idx="1">
                  <c:v>0.55111111111111111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76-4056-BDF0-FA7451B268B6}"/>
            </c:ext>
          </c:extLst>
        </c:ser>
        <c:ser>
          <c:idx val="3"/>
          <c:order val="3"/>
          <c:tx>
            <c:strRef>
              <c:f>'[1]Memória kezelés'!$A$67</c:f>
              <c:strCache>
                <c:ptCount val="1"/>
                <c:pt idx="0">
                  <c:v>Next 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'[1]Memória kezelés'!$B$63:$C$63</c:f>
              <c:strCache>
                <c:ptCount val="2"/>
                <c:pt idx="0">
                  <c:v>Maradék</c:v>
                </c:pt>
                <c:pt idx="1">
                  <c:v>Kihasználtság</c:v>
                </c:pt>
              </c:strCache>
            </c:strRef>
          </c:cat>
          <c:val>
            <c:numRef>
              <c:f>'[1]Memória kezelés'!$B$67:$C$67</c:f>
              <c:numCache>
                <c:formatCode>General</c:formatCode>
                <c:ptCount val="2"/>
                <c:pt idx="0">
                  <c:v>101</c:v>
                </c:pt>
                <c:pt idx="1">
                  <c:v>0.55111111111111111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76-4056-BDF0-FA7451B26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653983"/>
        <c:axId val="285656863"/>
      </c:barChart>
      <c:catAx>
        <c:axId val="28565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85656863"/>
        <c:crosses val="autoZero"/>
        <c:auto val="1"/>
        <c:lblAlgn val="ctr"/>
        <c:lblOffset val="100"/>
        <c:noMultiLvlLbl val="0"/>
      </c:catAx>
      <c:valAx>
        <c:axId val="28565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8565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Összehasonlítás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Összehasonlítás!$A$3</c:f>
              <c:strCache>
                <c:ptCount val="1"/>
                <c:pt idx="0">
                  <c:v>FIFO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Összehasonlítás!$B$2</c:f>
              <c:strCache>
                <c:ptCount val="1"/>
                <c:pt idx="0">
                  <c:v>Laphibák száma</c:v>
                </c:pt>
              </c:strCache>
            </c:strRef>
          </c:cat>
          <c:val>
            <c:numRef>
              <c:f>Összehasonlítás!$B$3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F-4D86-ACB0-7A50234CFFD8}"/>
            </c:ext>
          </c:extLst>
        </c:ser>
        <c:ser>
          <c:idx val="1"/>
          <c:order val="1"/>
          <c:tx>
            <c:strRef>
              <c:f>Összehasonlítás!$A$4</c:f>
              <c:strCache>
                <c:ptCount val="1"/>
                <c:pt idx="0">
                  <c:v>LRU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Összehasonlítás!$B$2</c:f>
              <c:strCache>
                <c:ptCount val="1"/>
                <c:pt idx="0">
                  <c:v>Laphibák száma</c:v>
                </c:pt>
              </c:strCache>
            </c:strRef>
          </c:cat>
          <c:val>
            <c:numRef>
              <c:f>Összehasonlítás!$B$4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FF-4D86-ACB0-7A50234CFFD8}"/>
            </c:ext>
          </c:extLst>
        </c:ser>
        <c:ser>
          <c:idx val="2"/>
          <c:order val="2"/>
          <c:tx>
            <c:strRef>
              <c:f>Összehasonlítás!$A$5</c:f>
              <c:strCache>
                <c:ptCount val="1"/>
                <c:pt idx="0">
                  <c:v>SC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Összehasonlítás!$B$2</c:f>
              <c:strCache>
                <c:ptCount val="1"/>
                <c:pt idx="0">
                  <c:v>Laphibák száma</c:v>
                </c:pt>
              </c:strCache>
            </c:strRef>
          </c:cat>
          <c:val>
            <c:numRef>
              <c:f>Összehasonlítás!$B$5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FF-4D86-ACB0-7A50234CFFD8}"/>
            </c:ext>
          </c:extLst>
        </c:ser>
        <c:ser>
          <c:idx val="3"/>
          <c:order val="3"/>
          <c:tx>
            <c:strRef>
              <c:f>Összehasonlítás!$A$6</c:f>
              <c:strCache>
                <c:ptCount val="1"/>
                <c:pt idx="0">
                  <c:v>OPT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Összehasonlítás!$B$2</c:f>
              <c:strCache>
                <c:ptCount val="1"/>
                <c:pt idx="0">
                  <c:v>Laphibák száma</c:v>
                </c:pt>
              </c:strCache>
            </c:strRef>
          </c:cat>
          <c:val>
            <c:numRef>
              <c:f>Összehasonlítás!$B$6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FF-4D86-ACB0-7A50234CF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7897328"/>
        <c:axId val="1137894448"/>
      </c:barChart>
      <c:catAx>
        <c:axId val="113789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37894448"/>
        <c:crosses val="autoZero"/>
        <c:auto val="1"/>
        <c:lblAlgn val="ctr"/>
        <c:lblOffset val="100"/>
        <c:noMultiLvlLbl val="0"/>
      </c:catAx>
      <c:valAx>
        <c:axId val="113789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3789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59</xdr:row>
      <xdr:rowOff>95250</xdr:rowOff>
    </xdr:from>
    <xdr:to>
      <xdr:col>12</xdr:col>
      <xdr:colOff>514350</xdr:colOff>
      <xdr:row>74</xdr:row>
      <xdr:rowOff>123825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5093575-B2BA-400F-81F2-3AF477444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8</xdr:row>
      <xdr:rowOff>61912</xdr:rowOff>
    </xdr:from>
    <xdr:to>
      <xdr:col>5</xdr:col>
      <xdr:colOff>495300</xdr:colOff>
      <xdr:row>22</xdr:row>
      <xdr:rowOff>138112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A4F5027-D228-B573-DACB-BBF558BDE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&#225;jlok_0417/hm7bfa_2.xlsx" TargetMode="External"/><Relationship Id="rId2" Type="http://schemas.openxmlformats.org/officeDocument/2006/relationships/externalLinkPath" Target="file:///C:\Users\anita\Desktop\THE\II.%20f&#233;l&#233;v\Oper&#225;ci&#243;s%20rendszerek\F&#225;jlok_0417\hm7bfa_2.xlsx" TargetMode="External"/><Relationship Id="rId1" Type="http://schemas.openxmlformats.org/officeDocument/2006/relationships/externalLinkPath" Target="/Users/anita/Desktop/THE/II.%20f&#233;l&#233;v/Oper&#225;ci&#243;s%20rendszerek/F&#225;jlok_0417/hm7bfa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mória kezelés"/>
    </sheetNames>
    <sheetDataSet>
      <sheetData sheetId="0">
        <row r="63">
          <cell r="B63" t="str">
            <v>Maradék</v>
          </cell>
          <cell r="C63" t="str">
            <v>Kihasználtság</v>
          </cell>
        </row>
        <row r="64">
          <cell r="A64" t="str">
            <v>First Fit</v>
          </cell>
          <cell r="B64">
            <v>101</v>
          </cell>
          <cell r="C64">
            <v>0.55111111111111111</v>
          </cell>
        </row>
        <row r="65">
          <cell r="A65" t="str">
            <v>Best Fit</v>
          </cell>
          <cell r="B65">
            <v>101</v>
          </cell>
          <cell r="C65">
            <v>0.55111111111111111</v>
          </cell>
        </row>
        <row r="66">
          <cell r="A66" t="str">
            <v>Worst Fit</v>
          </cell>
          <cell r="B66">
            <v>101</v>
          </cell>
          <cell r="C66">
            <v>0.55111111111111111</v>
          </cell>
        </row>
        <row r="67">
          <cell r="A67" t="str">
            <v>Next Fit</v>
          </cell>
          <cell r="B67">
            <v>101</v>
          </cell>
          <cell r="C67">
            <v>0.55111111111111111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7"/>
  <sheetViews>
    <sheetView topLeftCell="A32" workbookViewId="0">
      <selection activeCell="I20" sqref="I20"/>
    </sheetView>
  </sheetViews>
  <sheetFormatPr defaultRowHeight="14.25" x14ac:dyDescent="0.2"/>
  <cols>
    <col min="1" max="1" width="21.7109375" style="1" bestFit="1" customWidth="1"/>
    <col min="2" max="2" width="10.28515625" style="1" bestFit="1" customWidth="1"/>
    <col min="3" max="3" width="9.85546875" style="1" bestFit="1" customWidth="1"/>
    <col min="4" max="24" width="9.140625" style="1"/>
    <col min="25" max="25" width="13.5703125" style="1" bestFit="1" customWidth="1"/>
    <col min="26" max="16384" width="9.140625" style="1"/>
  </cols>
  <sheetData>
    <row r="1" spans="1:25" ht="15" x14ac:dyDescent="0.25">
      <c r="C1" s="134" t="s">
        <v>0</v>
      </c>
      <c r="D1" s="134"/>
      <c r="E1" s="1">
        <v>30</v>
      </c>
      <c r="F1" s="1">
        <v>35</v>
      </c>
      <c r="G1" s="1">
        <v>15</v>
      </c>
      <c r="H1" s="1">
        <v>25</v>
      </c>
      <c r="I1" s="1">
        <v>75</v>
      </c>
      <c r="J1" s="1">
        <v>45</v>
      </c>
    </row>
    <row r="2" spans="1:25" ht="15" x14ac:dyDescent="0.25">
      <c r="C2" s="134" t="s">
        <v>1</v>
      </c>
      <c r="D2" s="134"/>
      <c r="E2" s="1">
        <v>39</v>
      </c>
      <c r="F2" s="1">
        <v>40</v>
      </c>
      <c r="G2" s="1">
        <v>33</v>
      </c>
      <c r="H2" s="1">
        <v>20</v>
      </c>
      <c r="I2" s="1">
        <v>21</v>
      </c>
    </row>
    <row r="4" spans="1:25" ht="15.75" thickBot="1" x14ac:dyDescent="0.3">
      <c r="A4" s="2" t="s">
        <v>2</v>
      </c>
    </row>
    <row r="5" spans="1:25" ht="15.75" thickBot="1" x14ac:dyDescent="0.3">
      <c r="A5" s="3"/>
      <c r="B5" s="3"/>
      <c r="C5" s="131" t="s">
        <v>3</v>
      </c>
      <c r="D5" s="132"/>
      <c r="E5" s="132"/>
      <c r="F5" s="132"/>
      <c r="G5" s="132"/>
      <c r="H5" s="133"/>
      <c r="L5" s="2" t="s">
        <v>4</v>
      </c>
      <c r="O5" s="2">
        <v>20</v>
      </c>
      <c r="T5" s="2" t="s">
        <v>5</v>
      </c>
    </row>
    <row r="6" spans="1:25" ht="15.75" thickBot="1" x14ac:dyDescent="0.3">
      <c r="A6" s="4" t="s">
        <v>6</v>
      </c>
      <c r="B6" s="4" t="s">
        <v>7</v>
      </c>
      <c r="C6" s="5">
        <v>30</v>
      </c>
      <c r="D6" s="6">
        <v>35</v>
      </c>
      <c r="E6" s="6">
        <v>15</v>
      </c>
      <c r="F6" s="6">
        <v>25</v>
      </c>
      <c r="G6" s="6">
        <v>75</v>
      </c>
      <c r="H6" s="7">
        <v>45</v>
      </c>
      <c r="L6" s="2" t="s">
        <v>8</v>
      </c>
      <c r="N6" s="1">
        <f>MOD(C14,4)</f>
        <v>2</v>
      </c>
      <c r="O6" s="1">
        <f t="shared" ref="O6:S6" si="0">MOD(D14,4)</f>
        <v>3</v>
      </c>
      <c r="P6" s="1">
        <f t="shared" si="0"/>
        <v>3</v>
      </c>
      <c r="Q6" s="1">
        <f t="shared" si="0"/>
        <v>1</v>
      </c>
      <c r="R6" s="1">
        <f t="shared" si="0"/>
        <v>3</v>
      </c>
      <c r="S6" s="1">
        <f t="shared" si="0"/>
        <v>1</v>
      </c>
      <c r="T6" s="2">
        <f>SUM(N6:S6)</f>
        <v>13</v>
      </c>
      <c r="X6" s="8" t="s">
        <v>6</v>
      </c>
      <c r="Y6" s="8" t="s">
        <v>9</v>
      </c>
    </row>
    <row r="7" spans="1:25" ht="15" x14ac:dyDescent="0.25">
      <c r="A7" s="9">
        <v>39</v>
      </c>
      <c r="B7" s="10">
        <v>40</v>
      </c>
      <c r="C7" s="11">
        <v>30</v>
      </c>
      <c r="D7" s="12">
        <v>35</v>
      </c>
      <c r="E7" s="12">
        <v>15</v>
      </c>
      <c r="F7" s="12">
        <v>25</v>
      </c>
      <c r="G7" s="13" t="s">
        <v>10</v>
      </c>
      <c r="H7" s="14">
        <v>45</v>
      </c>
      <c r="I7" s="15"/>
      <c r="L7" s="2" t="s">
        <v>11</v>
      </c>
      <c r="N7" s="1">
        <v>10</v>
      </c>
      <c r="O7" s="1">
        <v>11</v>
      </c>
      <c r="P7" s="1">
        <v>15</v>
      </c>
      <c r="Q7" s="1">
        <v>0</v>
      </c>
      <c r="R7" s="1">
        <v>0</v>
      </c>
      <c r="S7" s="1">
        <v>5</v>
      </c>
      <c r="T7" s="2">
        <f>SUM(N7:S7)</f>
        <v>41</v>
      </c>
      <c r="X7" s="9">
        <v>39</v>
      </c>
      <c r="Y7" s="10">
        <v>40</v>
      </c>
    </row>
    <row r="8" spans="1:25" ht="15" x14ac:dyDescent="0.25">
      <c r="A8" s="16">
        <v>40</v>
      </c>
      <c r="B8" s="17">
        <v>40</v>
      </c>
      <c r="C8" s="18">
        <v>30</v>
      </c>
      <c r="D8" s="19">
        <v>35</v>
      </c>
      <c r="E8" s="19">
        <v>15</v>
      </c>
      <c r="F8" s="19">
        <v>25</v>
      </c>
      <c r="G8" s="20">
        <v>35</v>
      </c>
      <c r="H8" s="21" t="s">
        <v>12</v>
      </c>
      <c r="L8" s="2" t="s">
        <v>13</v>
      </c>
      <c r="T8" s="2"/>
      <c r="X8" s="16">
        <v>40</v>
      </c>
      <c r="Y8" s="17">
        <v>40</v>
      </c>
    </row>
    <row r="9" spans="1:25" ht="15" x14ac:dyDescent="0.25">
      <c r="A9" s="16">
        <v>33</v>
      </c>
      <c r="B9" s="17">
        <v>36</v>
      </c>
      <c r="C9" s="18">
        <v>30</v>
      </c>
      <c r="D9" s="19">
        <v>35</v>
      </c>
      <c r="E9" s="19">
        <v>15</v>
      </c>
      <c r="F9" s="19">
        <v>25</v>
      </c>
      <c r="G9" s="20">
        <v>35</v>
      </c>
      <c r="H9" s="22">
        <v>5</v>
      </c>
      <c r="N9" s="1">
        <v>1</v>
      </c>
      <c r="T9" s="2"/>
      <c r="X9" s="16">
        <v>33</v>
      </c>
      <c r="Y9" s="17">
        <v>36</v>
      </c>
    </row>
    <row r="10" spans="1:25" ht="15" x14ac:dyDescent="0.25">
      <c r="A10" s="16">
        <v>20</v>
      </c>
      <c r="B10" s="17">
        <v>20</v>
      </c>
      <c r="C10" s="23" t="s">
        <v>14</v>
      </c>
      <c r="D10" s="19">
        <v>35</v>
      </c>
      <c r="E10" s="19">
        <v>15</v>
      </c>
      <c r="F10" s="19">
        <v>25</v>
      </c>
      <c r="G10" s="20">
        <v>35</v>
      </c>
      <c r="H10" s="22">
        <v>5</v>
      </c>
      <c r="N10" s="1">
        <v>0</v>
      </c>
      <c r="T10" s="2"/>
      <c r="X10" s="16">
        <v>20</v>
      </c>
      <c r="Y10" s="17">
        <v>20</v>
      </c>
    </row>
    <row r="11" spans="1:25" ht="15.75" thickBot="1" x14ac:dyDescent="0.3">
      <c r="A11" s="24">
        <v>21</v>
      </c>
      <c r="B11" s="25">
        <v>24</v>
      </c>
      <c r="C11" s="26">
        <v>10</v>
      </c>
      <c r="D11" s="27" t="s">
        <v>15</v>
      </c>
      <c r="E11" s="27">
        <v>15</v>
      </c>
      <c r="F11" s="27">
        <v>25</v>
      </c>
      <c r="G11" s="28">
        <v>35</v>
      </c>
      <c r="H11" s="29">
        <v>5</v>
      </c>
      <c r="N11" s="30">
        <v>3</v>
      </c>
      <c r="O11" s="1" t="s">
        <v>16</v>
      </c>
      <c r="T11" s="2">
        <f>SUM(N9:N10)+SUM(N12:N13)</f>
        <v>4</v>
      </c>
      <c r="X11" s="24">
        <v>21</v>
      </c>
      <c r="Y11" s="25">
        <v>24</v>
      </c>
    </row>
    <row r="12" spans="1:25" x14ac:dyDescent="0.2">
      <c r="N12" s="1">
        <v>0</v>
      </c>
    </row>
    <row r="13" spans="1:25" ht="15" x14ac:dyDescent="0.25">
      <c r="A13" s="2" t="s">
        <v>17</v>
      </c>
      <c r="B13" s="2"/>
      <c r="C13" s="2"/>
      <c r="D13" s="2"/>
      <c r="E13" s="2"/>
      <c r="F13" s="2"/>
      <c r="G13" s="2"/>
      <c r="H13" s="2"/>
      <c r="N13" s="1">
        <v>3</v>
      </c>
    </row>
    <row r="14" spans="1:25" ht="15" x14ac:dyDescent="0.25">
      <c r="A14" s="2" t="s">
        <v>18</v>
      </c>
      <c r="B14" s="2"/>
      <c r="C14" s="31">
        <v>10</v>
      </c>
      <c r="D14" s="31">
        <v>11</v>
      </c>
      <c r="E14" s="31">
        <v>15</v>
      </c>
      <c r="F14" s="31">
        <v>25</v>
      </c>
      <c r="G14" s="31">
        <v>35</v>
      </c>
      <c r="H14" s="31">
        <v>5</v>
      </c>
    </row>
    <row r="15" spans="1:25" ht="15" x14ac:dyDescent="0.25">
      <c r="A15" s="2" t="s">
        <v>19</v>
      </c>
      <c r="B15" s="2"/>
      <c r="C15" s="2" t="s">
        <v>20</v>
      </c>
      <c r="D15" s="2"/>
      <c r="E15" s="2"/>
      <c r="F15" s="2"/>
      <c r="G15" s="2"/>
      <c r="H15" s="2"/>
      <c r="L15" s="2" t="s">
        <v>21</v>
      </c>
      <c r="M15" s="2"/>
      <c r="N15" s="2"/>
      <c r="O15" s="32">
        <f>(T6+T7+T11)/SUM(C6:H6)</f>
        <v>0.25777777777777777</v>
      </c>
      <c r="Q15" s="1" t="s">
        <v>22</v>
      </c>
    </row>
    <row r="16" spans="1:25" ht="15" x14ac:dyDescent="0.25">
      <c r="A16" s="2"/>
      <c r="B16" s="2"/>
      <c r="C16" s="2"/>
      <c r="D16" s="2"/>
      <c r="E16" s="2"/>
      <c r="F16" s="2"/>
      <c r="G16" s="2"/>
      <c r="H16" s="2"/>
    </row>
    <row r="19" spans="1:20" ht="15.75" thickBot="1" x14ac:dyDescent="0.3">
      <c r="A19" s="2" t="s">
        <v>23</v>
      </c>
    </row>
    <row r="20" spans="1:20" ht="15" thickBot="1" x14ac:dyDescent="0.25">
      <c r="A20" s="3"/>
      <c r="B20" s="3"/>
      <c r="C20" s="131" t="s">
        <v>3</v>
      </c>
      <c r="D20" s="132"/>
      <c r="E20" s="132"/>
      <c r="F20" s="132"/>
      <c r="G20" s="132"/>
      <c r="H20" s="133"/>
      <c r="L20" s="1" t="s">
        <v>4</v>
      </c>
      <c r="O20" s="1">
        <v>20</v>
      </c>
      <c r="T20" s="1" t="s">
        <v>5</v>
      </c>
    </row>
    <row r="21" spans="1:20" ht="15" thickBot="1" x14ac:dyDescent="0.25">
      <c r="A21" s="4" t="s">
        <v>6</v>
      </c>
      <c r="B21" s="4" t="s">
        <v>7</v>
      </c>
      <c r="C21" s="5">
        <v>30</v>
      </c>
      <c r="D21" s="6">
        <v>35</v>
      </c>
      <c r="E21" s="6">
        <v>15</v>
      </c>
      <c r="F21" s="6">
        <v>25</v>
      </c>
      <c r="G21" s="6">
        <v>75</v>
      </c>
      <c r="H21" s="7">
        <v>45</v>
      </c>
      <c r="L21" s="1" t="s">
        <v>8</v>
      </c>
      <c r="N21" s="1">
        <f>MOD(C29,4)</f>
        <v>2</v>
      </c>
      <c r="O21" s="1">
        <f t="shared" ref="O21:S21" si="1">MOD(D29,4)</f>
        <v>3</v>
      </c>
      <c r="P21" s="1">
        <f t="shared" si="1"/>
        <v>3</v>
      </c>
      <c r="Q21" s="1">
        <f t="shared" si="1"/>
        <v>1</v>
      </c>
      <c r="R21" s="1">
        <f t="shared" si="1"/>
        <v>3</v>
      </c>
      <c r="S21" s="1">
        <f t="shared" si="1"/>
        <v>1</v>
      </c>
      <c r="T21" s="1">
        <f>SUM(N21:S21)</f>
        <v>13</v>
      </c>
    </row>
    <row r="22" spans="1:20" x14ac:dyDescent="0.2">
      <c r="A22" s="33">
        <v>39</v>
      </c>
      <c r="B22" s="33">
        <v>40</v>
      </c>
      <c r="C22" s="11">
        <v>30</v>
      </c>
      <c r="D22" s="12">
        <v>35</v>
      </c>
      <c r="E22" s="12">
        <v>15</v>
      </c>
      <c r="F22" s="12">
        <v>25</v>
      </c>
      <c r="G22" s="12" t="s">
        <v>24</v>
      </c>
      <c r="H22" s="14">
        <v>45</v>
      </c>
      <c r="I22" s="15"/>
      <c r="L22" s="1" t="s">
        <v>11</v>
      </c>
      <c r="N22" s="1">
        <v>10</v>
      </c>
      <c r="O22" s="1">
        <v>11</v>
      </c>
      <c r="P22" s="1">
        <v>15</v>
      </c>
      <c r="Q22" s="1">
        <v>0</v>
      </c>
      <c r="R22" s="1">
        <v>0</v>
      </c>
      <c r="S22" s="1">
        <v>5</v>
      </c>
      <c r="T22" s="1">
        <f>SUM(N22:S22)</f>
        <v>41</v>
      </c>
    </row>
    <row r="23" spans="1:20" x14ac:dyDescent="0.2">
      <c r="A23" s="34">
        <v>40</v>
      </c>
      <c r="B23" s="34">
        <v>40</v>
      </c>
      <c r="C23" s="18">
        <v>30</v>
      </c>
      <c r="D23" s="19">
        <v>35</v>
      </c>
      <c r="E23" s="19">
        <v>15</v>
      </c>
      <c r="F23" s="19">
        <v>25</v>
      </c>
      <c r="G23" s="19">
        <v>35</v>
      </c>
      <c r="H23" s="35" t="s">
        <v>25</v>
      </c>
      <c r="L23" s="1" t="s">
        <v>13</v>
      </c>
    </row>
    <row r="24" spans="1:20" x14ac:dyDescent="0.2">
      <c r="A24" s="34">
        <v>33</v>
      </c>
      <c r="B24" s="34">
        <v>36</v>
      </c>
      <c r="C24" s="18">
        <v>30</v>
      </c>
      <c r="D24" s="19">
        <v>35</v>
      </c>
      <c r="E24" s="19">
        <v>15</v>
      </c>
      <c r="F24" s="19">
        <v>25</v>
      </c>
      <c r="G24" s="19">
        <v>35</v>
      </c>
      <c r="H24" s="35">
        <v>5</v>
      </c>
      <c r="N24" s="1">
        <v>1</v>
      </c>
    </row>
    <row r="25" spans="1:20" x14ac:dyDescent="0.2">
      <c r="A25" s="34">
        <v>20</v>
      </c>
      <c r="B25" s="34">
        <v>20</v>
      </c>
      <c r="C25" s="18" t="s">
        <v>26</v>
      </c>
      <c r="D25" s="19">
        <v>35</v>
      </c>
      <c r="E25" s="19">
        <v>15</v>
      </c>
      <c r="F25" s="19">
        <v>25</v>
      </c>
      <c r="G25" s="19">
        <v>35</v>
      </c>
      <c r="H25" s="35">
        <v>5</v>
      </c>
      <c r="N25" s="1">
        <v>0</v>
      </c>
    </row>
    <row r="26" spans="1:20" ht="15" thickBot="1" x14ac:dyDescent="0.25">
      <c r="A26" s="36">
        <v>21</v>
      </c>
      <c r="B26" s="36">
        <v>24</v>
      </c>
      <c r="C26" s="37">
        <v>10</v>
      </c>
      <c r="D26" s="27" t="s">
        <v>27</v>
      </c>
      <c r="E26" s="27">
        <v>15</v>
      </c>
      <c r="F26" s="27">
        <v>25</v>
      </c>
      <c r="G26" s="27">
        <v>35</v>
      </c>
      <c r="H26" s="38">
        <v>5</v>
      </c>
      <c r="N26" s="30">
        <v>3</v>
      </c>
      <c r="O26" s="1" t="s">
        <v>16</v>
      </c>
      <c r="T26" s="1">
        <f>SUM(N24:N25)+SUM(N27:N28)</f>
        <v>4</v>
      </c>
    </row>
    <row r="27" spans="1:20" x14ac:dyDescent="0.2">
      <c r="N27" s="1">
        <v>0</v>
      </c>
    </row>
    <row r="28" spans="1:20" x14ac:dyDescent="0.2">
      <c r="A28" s="1" t="s">
        <v>17</v>
      </c>
      <c r="N28" s="1">
        <v>3</v>
      </c>
    </row>
    <row r="29" spans="1:20" x14ac:dyDescent="0.2">
      <c r="A29" s="1" t="s">
        <v>18</v>
      </c>
      <c r="C29" s="15">
        <v>10</v>
      </c>
      <c r="D29" s="15">
        <v>11</v>
      </c>
      <c r="E29" s="15">
        <v>15</v>
      </c>
      <c r="F29" s="15">
        <v>25</v>
      </c>
      <c r="G29" s="15">
        <v>35</v>
      </c>
      <c r="H29" s="15">
        <v>5</v>
      </c>
    </row>
    <row r="30" spans="1:20" x14ac:dyDescent="0.2">
      <c r="A30" s="1" t="s">
        <v>19</v>
      </c>
      <c r="C30" s="1" t="s">
        <v>20</v>
      </c>
      <c r="L30" s="1" t="s">
        <v>21</v>
      </c>
      <c r="O30" s="39">
        <f>(T21+T22+T26)/SUM(C21:H21)</f>
        <v>0.25777777777777777</v>
      </c>
      <c r="Q30" s="1" t="s">
        <v>28</v>
      </c>
    </row>
    <row r="33" spans="1:20" ht="15.75" thickBot="1" x14ac:dyDescent="0.3">
      <c r="A33" s="2" t="s">
        <v>29</v>
      </c>
    </row>
    <row r="34" spans="1:20" ht="15" thickBot="1" x14ac:dyDescent="0.25">
      <c r="A34" s="3"/>
      <c r="B34" s="3"/>
      <c r="C34" s="131" t="s">
        <v>3</v>
      </c>
      <c r="D34" s="132"/>
      <c r="E34" s="132"/>
      <c r="F34" s="132"/>
      <c r="G34" s="132"/>
      <c r="H34" s="133"/>
      <c r="L34" s="1" t="s">
        <v>4</v>
      </c>
      <c r="O34" s="1">
        <v>20</v>
      </c>
      <c r="T34" s="1" t="s">
        <v>5</v>
      </c>
    </row>
    <row r="35" spans="1:20" ht="15" thickBot="1" x14ac:dyDescent="0.25">
      <c r="A35" s="4" t="s">
        <v>6</v>
      </c>
      <c r="B35" s="4" t="s">
        <v>7</v>
      </c>
      <c r="C35" s="5">
        <v>30</v>
      </c>
      <c r="D35" s="6">
        <v>35</v>
      </c>
      <c r="E35" s="6">
        <v>15</v>
      </c>
      <c r="F35" s="6">
        <v>25</v>
      </c>
      <c r="G35" s="6">
        <v>75</v>
      </c>
      <c r="H35" s="7">
        <v>45</v>
      </c>
      <c r="L35" s="1" t="s">
        <v>8</v>
      </c>
      <c r="N35" s="1">
        <f>MOD(C43,4)</f>
        <v>2</v>
      </c>
      <c r="O35" s="1">
        <f t="shared" ref="O35:S35" si="2">MOD(D43,4)</f>
        <v>3</v>
      </c>
      <c r="P35" s="1">
        <f t="shared" si="2"/>
        <v>3</v>
      </c>
      <c r="Q35" s="1">
        <f t="shared" si="2"/>
        <v>1</v>
      </c>
      <c r="R35" s="1">
        <f t="shared" si="2"/>
        <v>3</v>
      </c>
      <c r="S35" s="1">
        <f t="shared" si="2"/>
        <v>1</v>
      </c>
      <c r="T35" s="1">
        <f>SUM(N35:S35)</f>
        <v>13</v>
      </c>
    </row>
    <row r="36" spans="1:20" x14ac:dyDescent="0.2">
      <c r="A36" s="33">
        <v>39</v>
      </c>
      <c r="B36" s="33">
        <v>40</v>
      </c>
      <c r="C36" s="11">
        <v>30</v>
      </c>
      <c r="D36" s="12">
        <v>35</v>
      </c>
      <c r="E36" s="12">
        <v>15</v>
      </c>
      <c r="F36" s="12">
        <v>25</v>
      </c>
      <c r="G36" s="12">
        <v>75</v>
      </c>
      <c r="H36" s="14">
        <v>45</v>
      </c>
      <c r="I36" s="15"/>
      <c r="L36" s="1" t="s">
        <v>11</v>
      </c>
      <c r="N36" s="1">
        <v>10</v>
      </c>
      <c r="O36" s="1">
        <v>11</v>
      </c>
      <c r="P36" s="1">
        <v>15</v>
      </c>
      <c r="Q36" s="1">
        <v>0</v>
      </c>
      <c r="R36" s="1">
        <v>0</v>
      </c>
      <c r="S36" s="1">
        <v>5</v>
      </c>
      <c r="T36" s="1">
        <f>SUM(N36:S36)</f>
        <v>41</v>
      </c>
    </row>
    <row r="37" spans="1:20" x14ac:dyDescent="0.2">
      <c r="A37" s="34">
        <v>40</v>
      </c>
      <c r="B37" s="34">
        <v>40</v>
      </c>
      <c r="C37" s="18">
        <v>30</v>
      </c>
      <c r="D37" s="19">
        <v>35</v>
      </c>
      <c r="E37" s="19">
        <v>15</v>
      </c>
      <c r="F37" s="19">
        <v>25</v>
      </c>
      <c r="G37" s="19">
        <v>35</v>
      </c>
      <c r="H37" s="35" t="s">
        <v>25</v>
      </c>
      <c r="L37" s="1" t="s">
        <v>13</v>
      </c>
    </row>
    <row r="38" spans="1:20" x14ac:dyDescent="0.2">
      <c r="A38" s="34">
        <v>33</v>
      </c>
      <c r="B38" s="34">
        <v>36</v>
      </c>
      <c r="C38" s="18">
        <v>30</v>
      </c>
      <c r="D38" s="19">
        <v>35</v>
      </c>
      <c r="E38" s="19">
        <v>15</v>
      </c>
      <c r="F38" s="19">
        <v>25</v>
      </c>
      <c r="G38" s="19">
        <v>35</v>
      </c>
      <c r="H38" s="35">
        <v>5</v>
      </c>
      <c r="N38" s="1">
        <v>1</v>
      </c>
    </row>
    <row r="39" spans="1:20" x14ac:dyDescent="0.2">
      <c r="A39" s="34">
        <v>20</v>
      </c>
      <c r="B39" s="34">
        <v>20</v>
      </c>
      <c r="C39" s="18" t="s">
        <v>26</v>
      </c>
      <c r="D39" s="19">
        <v>35</v>
      </c>
      <c r="E39" s="19">
        <v>15</v>
      </c>
      <c r="F39" s="19">
        <v>25</v>
      </c>
      <c r="G39" s="19">
        <v>35</v>
      </c>
      <c r="H39" s="35">
        <v>5</v>
      </c>
      <c r="N39" s="1">
        <v>0</v>
      </c>
    </row>
    <row r="40" spans="1:20" ht="15" thickBot="1" x14ac:dyDescent="0.25">
      <c r="A40" s="36">
        <v>21</v>
      </c>
      <c r="B40" s="36">
        <v>24</v>
      </c>
      <c r="C40" s="37">
        <v>10</v>
      </c>
      <c r="D40" s="27" t="s">
        <v>27</v>
      </c>
      <c r="E40" s="27">
        <v>15</v>
      </c>
      <c r="F40" s="27">
        <v>25</v>
      </c>
      <c r="G40" s="27">
        <v>35</v>
      </c>
      <c r="H40" s="38">
        <v>5</v>
      </c>
      <c r="N40" s="30">
        <v>3</v>
      </c>
      <c r="O40" s="1" t="s">
        <v>16</v>
      </c>
      <c r="T40" s="1">
        <f>SUM(N38:N39)+SUM(N41:N42)</f>
        <v>4</v>
      </c>
    </row>
    <row r="41" spans="1:20" x14ac:dyDescent="0.2">
      <c r="N41" s="1">
        <v>0</v>
      </c>
    </row>
    <row r="42" spans="1:20" x14ac:dyDescent="0.2">
      <c r="A42" s="1" t="s">
        <v>17</v>
      </c>
      <c r="N42" s="1">
        <v>3</v>
      </c>
    </row>
    <row r="43" spans="1:20" x14ac:dyDescent="0.2">
      <c r="A43" s="1" t="s">
        <v>18</v>
      </c>
      <c r="C43" s="15">
        <v>6</v>
      </c>
      <c r="D43" s="15">
        <v>35</v>
      </c>
      <c r="E43" s="15">
        <v>15</v>
      </c>
      <c r="F43" s="15">
        <v>5</v>
      </c>
      <c r="G43" s="15">
        <v>35</v>
      </c>
      <c r="H43" s="15">
        <v>5</v>
      </c>
    </row>
    <row r="44" spans="1:20" x14ac:dyDescent="0.2">
      <c r="A44" s="1" t="s">
        <v>19</v>
      </c>
      <c r="C44" s="1" t="s">
        <v>20</v>
      </c>
      <c r="L44" s="1" t="s">
        <v>21</v>
      </c>
      <c r="O44" s="39">
        <f>(T35+T36+T40)/SUM(C35:H35)</f>
        <v>0.25777777777777777</v>
      </c>
      <c r="Q44" s="1" t="s">
        <v>28</v>
      </c>
    </row>
    <row r="48" spans="1:20" ht="15.75" thickBot="1" x14ac:dyDescent="0.3">
      <c r="A48" s="2" t="s">
        <v>30</v>
      </c>
    </row>
    <row r="49" spans="1:20" ht="15" thickBot="1" x14ac:dyDescent="0.25">
      <c r="A49" s="3"/>
      <c r="B49" s="3"/>
      <c r="C49" s="131" t="s">
        <v>3</v>
      </c>
      <c r="D49" s="132"/>
      <c r="E49" s="132"/>
      <c r="F49" s="132"/>
      <c r="G49" s="132"/>
      <c r="H49" s="133"/>
      <c r="L49" s="1" t="s">
        <v>4</v>
      </c>
      <c r="O49" s="1">
        <v>20</v>
      </c>
      <c r="T49" s="1" t="s">
        <v>5</v>
      </c>
    </row>
    <row r="50" spans="1:20" ht="15" thickBot="1" x14ac:dyDescent="0.25">
      <c r="A50" s="4" t="s">
        <v>6</v>
      </c>
      <c r="B50" s="4" t="s">
        <v>7</v>
      </c>
      <c r="C50" s="5">
        <v>30</v>
      </c>
      <c r="D50" s="6">
        <v>35</v>
      </c>
      <c r="E50" s="6">
        <v>15</v>
      </c>
      <c r="F50" s="6">
        <v>25</v>
      </c>
      <c r="G50" s="6">
        <v>75</v>
      </c>
      <c r="H50" s="7">
        <v>45</v>
      </c>
      <c r="L50" s="1" t="s">
        <v>8</v>
      </c>
      <c r="N50" s="1">
        <f>MOD(C58,4)</f>
        <v>2</v>
      </c>
      <c r="O50" s="1">
        <f t="shared" ref="O50:S50" si="3">MOD(D58,4)</f>
        <v>3</v>
      </c>
      <c r="P50" s="1">
        <f t="shared" si="3"/>
        <v>3</v>
      </c>
      <c r="Q50" s="1">
        <f t="shared" si="3"/>
        <v>1</v>
      </c>
      <c r="R50" s="1">
        <f t="shared" si="3"/>
        <v>3</v>
      </c>
      <c r="S50" s="1">
        <f t="shared" si="3"/>
        <v>1</v>
      </c>
      <c r="T50" s="1">
        <f>SUM(N50:S50)</f>
        <v>13</v>
      </c>
    </row>
    <row r="51" spans="1:20" x14ac:dyDescent="0.2">
      <c r="A51" s="33">
        <v>39</v>
      </c>
      <c r="B51" s="33">
        <v>40</v>
      </c>
      <c r="C51" s="11">
        <v>30</v>
      </c>
      <c r="D51" s="12">
        <v>35</v>
      </c>
      <c r="E51" s="12">
        <v>15</v>
      </c>
      <c r="F51" s="12">
        <v>25</v>
      </c>
      <c r="G51" s="12" t="s">
        <v>24</v>
      </c>
      <c r="H51" s="14">
        <v>45</v>
      </c>
      <c r="I51" s="15"/>
      <c r="L51" s="1" t="s">
        <v>11</v>
      </c>
      <c r="N51" s="1">
        <v>10</v>
      </c>
      <c r="O51" s="1">
        <v>11</v>
      </c>
      <c r="P51" s="1">
        <v>15</v>
      </c>
      <c r="Q51" s="1">
        <v>0</v>
      </c>
      <c r="R51" s="1">
        <v>0</v>
      </c>
      <c r="S51" s="1">
        <v>5</v>
      </c>
      <c r="T51" s="1">
        <f>SUM(N51:S51)</f>
        <v>41</v>
      </c>
    </row>
    <row r="52" spans="1:20" x14ac:dyDescent="0.2">
      <c r="A52" s="34">
        <v>40</v>
      </c>
      <c r="B52" s="34">
        <v>40</v>
      </c>
      <c r="C52" s="18">
        <v>30</v>
      </c>
      <c r="D52" s="19">
        <v>35</v>
      </c>
      <c r="E52" s="19">
        <v>15</v>
      </c>
      <c r="F52" s="19">
        <v>25</v>
      </c>
      <c r="G52" s="19">
        <v>35</v>
      </c>
      <c r="H52" s="35" t="s">
        <v>25</v>
      </c>
      <c r="L52" s="1" t="s">
        <v>13</v>
      </c>
    </row>
    <row r="53" spans="1:20" x14ac:dyDescent="0.2">
      <c r="A53" s="34">
        <v>33</v>
      </c>
      <c r="B53" s="34">
        <v>36</v>
      </c>
      <c r="C53" s="18">
        <v>30</v>
      </c>
      <c r="D53" s="19">
        <v>35</v>
      </c>
      <c r="E53" s="19">
        <v>15</v>
      </c>
      <c r="F53" s="19">
        <v>25</v>
      </c>
      <c r="G53" s="19">
        <v>35</v>
      </c>
      <c r="H53" s="35">
        <v>5</v>
      </c>
      <c r="N53" s="1">
        <v>1</v>
      </c>
    </row>
    <row r="54" spans="1:20" x14ac:dyDescent="0.2">
      <c r="A54" s="34">
        <v>20</v>
      </c>
      <c r="B54" s="34">
        <v>20</v>
      </c>
      <c r="C54" s="18" t="s">
        <v>26</v>
      </c>
      <c r="D54" s="19">
        <v>35</v>
      </c>
      <c r="E54" s="19">
        <v>15</v>
      </c>
      <c r="F54" s="19">
        <v>25</v>
      </c>
      <c r="G54" s="19">
        <v>35</v>
      </c>
      <c r="H54" s="35">
        <v>5</v>
      </c>
      <c r="N54" s="1">
        <v>0</v>
      </c>
    </row>
    <row r="55" spans="1:20" ht="15" thickBot="1" x14ac:dyDescent="0.25">
      <c r="A55" s="36">
        <v>21</v>
      </c>
      <c r="B55" s="36">
        <v>24</v>
      </c>
      <c r="C55" s="37">
        <v>10</v>
      </c>
      <c r="D55" s="27" t="s">
        <v>27</v>
      </c>
      <c r="E55" s="27">
        <v>15</v>
      </c>
      <c r="F55" s="27">
        <v>25</v>
      </c>
      <c r="G55" s="27">
        <v>35</v>
      </c>
      <c r="H55" s="38">
        <v>5</v>
      </c>
      <c r="N55" s="30">
        <v>3</v>
      </c>
      <c r="O55" s="1" t="s">
        <v>16</v>
      </c>
      <c r="T55" s="1">
        <f>SUM(N53:N54)+SUM(N56:N57)</f>
        <v>4</v>
      </c>
    </row>
    <row r="56" spans="1:20" x14ac:dyDescent="0.2">
      <c r="N56" s="1">
        <v>0</v>
      </c>
    </row>
    <row r="57" spans="1:20" x14ac:dyDescent="0.2">
      <c r="A57" s="1" t="s">
        <v>17</v>
      </c>
      <c r="N57" s="1">
        <v>3</v>
      </c>
    </row>
    <row r="58" spans="1:20" x14ac:dyDescent="0.2">
      <c r="A58" s="1" t="s">
        <v>18</v>
      </c>
      <c r="C58" s="15">
        <v>10</v>
      </c>
      <c r="D58" s="15">
        <v>11</v>
      </c>
      <c r="E58" s="15">
        <v>15</v>
      </c>
      <c r="F58" s="15">
        <v>25</v>
      </c>
      <c r="G58" s="15">
        <v>35</v>
      </c>
      <c r="H58" s="15">
        <v>5</v>
      </c>
    </row>
    <row r="59" spans="1:20" x14ac:dyDescent="0.2">
      <c r="A59" s="1" t="s">
        <v>19</v>
      </c>
      <c r="C59" s="1" t="s">
        <v>20</v>
      </c>
      <c r="L59" s="1" t="s">
        <v>21</v>
      </c>
      <c r="O59" s="39">
        <f>(T50+T51+T55)/SUM(C50:H50)</f>
        <v>0.25777777777777777</v>
      </c>
      <c r="Q59" s="1" t="s">
        <v>28</v>
      </c>
    </row>
    <row r="63" spans="1:20" x14ac:dyDescent="0.2">
      <c r="A63" s="1" t="s">
        <v>31</v>
      </c>
      <c r="B63" s="1" t="s">
        <v>32</v>
      </c>
      <c r="C63" s="1" t="s">
        <v>33</v>
      </c>
    </row>
    <row r="64" spans="1:20" x14ac:dyDescent="0.2">
      <c r="A64" s="1" t="s">
        <v>34</v>
      </c>
      <c r="B64" s="1">
        <v>101</v>
      </c>
      <c r="C64" s="40">
        <f>(225-B64)/225</f>
        <v>0.55111111111111111</v>
      </c>
    </row>
    <row r="65" spans="1:3" x14ac:dyDescent="0.2">
      <c r="A65" s="1" t="s">
        <v>35</v>
      </c>
      <c r="B65" s="1">
        <v>101</v>
      </c>
      <c r="C65" s="40">
        <f t="shared" ref="C65:C67" si="4">(225-B65)/225</f>
        <v>0.55111111111111111</v>
      </c>
    </row>
    <row r="66" spans="1:3" x14ac:dyDescent="0.2">
      <c r="A66" s="1" t="s">
        <v>36</v>
      </c>
      <c r="B66" s="1">
        <v>101</v>
      </c>
      <c r="C66" s="40">
        <f t="shared" si="4"/>
        <v>0.55111111111111111</v>
      </c>
    </row>
    <row r="67" spans="1:3" x14ac:dyDescent="0.2">
      <c r="A67" s="1" t="s">
        <v>37</v>
      </c>
      <c r="B67" s="1">
        <v>101</v>
      </c>
      <c r="C67" s="40">
        <f t="shared" si="4"/>
        <v>0.55111111111111111</v>
      </c>
    </row>
  </sheetData>
  <mergeCells count="6">
    <mergeCell ref="C49:H49"/>
    <mergeCell ref="C1:D1"/>
    <mergeCell ref="C2:D2"/>
    <mergeCell ref="C5:H5"/>
    <mergeCell ref="C20:H20"/>
    <mergeCell ref="C34:H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9C5E-D044-4507-94FA-B595F0E984BD}">
  <dimension ref="A1:U62"/>
  <sheetViews>
    <sheetView topLeftCell="A15" workbookViewId="0">
      <selection activeCell="L14" sqref="L14"/>
    </sheetView>
  </sheetViews>
  <sheetFormatPr defaultRowHeight="15" x14ac:dyDescent="0.25"/>
  <cols>
    <col min="1" max="1" width="21.7109375" customWidth="1"/>
  </cols>
  <sheetData>
    <row r="1" spans="1:21" ht="15.75" thickBot="1" x14ac:dyDescent="0.3">
      <c r="A1" s="41" t="s">
        <v>38</v>
      </c>
      <c r="B1" s="135" t="s">
        <v>39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6"/>
    </row>
    <row r="2" spans="1:21" ht="15.75" thickBot="1" x14ac:dyDescent="0.3">
      <c r="A2" s="43" t="s">
        <v>40</v>
      </c>
      <c r="B2" s="44">
        <v>5</v>
      </c>
      <c r="C2" s="45">
        <v>4</v>
      </c>
      <c r="D2" s="45">
        <v>3</v>
      </c>
      <c r="E2" s="46">
        <v>2</v>
      </c>
      <c r="F2" s="47">
        <v>4</v>
      </c>
      <c r="G2" s="47">
        <v>5</v>
      </c>
      <c r="H2" s="47">
        <v>1</v>
      </c>
      <c r="I2" s="47">
        <v>7</v>
      </c>
      <c r="J2" s="47">
        <v>4</v>
      </c>
      <c r="K2" s="47">
        <v>5</v>
      </c>
      <c r="L2" s="47">
        <v>4</v>
      </c>
      <c r="M2" s="47">
        <v>3</v>
      </c>
      <c r="N2" s="47">
        <v>6</v>
      </c>
      <c r="O2" s="47">
        <v>7</v>
      </c>
      <c r="P2" s="47">
        <v>3</v>
      </c>
      <c r="Q2" s="47">
        <v>4</v>
      </c>
      <c r="R2" s="47">
        <v>5</v>
      </c>
      <c r="S2" s="47">
        <v>4</v>
      </c>
      <c r="T2" s="47">
        <v>3</v>
      </c>
      <c r="U2" s="48">
        <v>7</v>
      </c>
    </row>
    <row r="3" spans="1:21" x14ac:dyDescent="0.25">
      <c r="A3" s="49" t="s">
        <v>41</v>
      </c>
      <c r="B3" s="50">
        <v>5</v>
      </c>
      <c r="C3" s="51">
        <v>5</v>
      </c>
      <c r="D3" s="51">
        <v>5</v>
      </c>
      <c r="E3" s="52">
        <v>5</v>
      </c>
      <c r="F3" s="53">
        <v>5</v>
      </c>
      <c r="G3" s="53">
        <v>5</v>
      </c>
      <c r="H3" s="51">
        <v>5</v>
      </c>
      <c r="I3" s="51">
        <v>5</v>
      </c>
      <c r="J3" s="53">
        <v>5</v>
      </c>
      <c r="K3" s="53">
        <v>5</v>
      </c>
      <c r="L3" s="53">
        <v>5</v>
      </c>
      <c r="M3" s="53">
        <v>5</v>
      </c>
      <c r="N3" s="54">
        <v>6</v>
      </c>
      <c r="O3" s="53">
        <v>6</v>
      </c>
      <c r="P3" s="53">
        <v>6</v>
      </c>
      <c r="Q3" s="53">
        <v>6</v>
      </c>
      <c r="R3" s="54">
        <v>5</v>
      </c>
      <c r="S3" s="53">
        <v>5</v>
      </c>
      <c r="T3" s="53">
        <v>5</v>
      </c>
      <c r="U3" s="55">
        <v>5</v>
      </c>
    </row>
    <row r="4" spans="1:21" x14ac:dyDescent="0.25">
      <c r="A4" s="49" t="s">
        <v>42</v>
      </c>
      <c r="B4" s="56"/>
      <c r="C4" s="54">
        <v>4</v>
      </c>
      <c r="D4" s="51">
        <v>4</v>
      </c>
      <c r="E4" s="52">
        <v>4</v>
      </c>
      <c r="F4" s="53">
        <v>4</v>
      </c>
      <c r="G4" s="53">
        <v>4</v>
      </c>
      <c r="H4" s="51">
        <v>4</v>
      </c>
      <c r="I4" s="51">
        <v>4</v>
      </c>
      <c r="J4" s="53">
        <v>4</v>
      </c>
      <c r="K4" s="53">
        <v>4</v>
      </c>
      <c r="L4" s="53">
        <v>4</v>
      </c>
      <c r="M4" s="53">
        <v>4</v>
      </c>
      <c r="N4" s="51">
        <v>4</v>
      </c>
      <c r="O4" s="53">
        <v>4</v>
      </c>
      <c r="P4" s="53">
        <v>4</v>
      </c>
      <c r="Q4" s="53">
        <v>4</v>
      </c>
      <c r="R4" s="51">
        <v>4</v>
      </c>
      <c r="S4" s="53">
        <v>4</v>
      </c>
      <c r="T4" s="53">
        <v>4</v>
      </c>
      <c r="U4" s="55">
        <v>4</v>
      </c>
    </row>
    <row r="5" spans="1:21" x14ac:dyDescent="0.25">
      <c r="A5" s="49" t="s">
        <v>43</v>
      </c>
      <c r="B5" s="56"/>
      <c r="C5" s="51"/>
      <c r="D5" s="54">
        <v>3</v>
      </c>
      <c r="E5" s="52">
        <v>3</v>
      </c>
      <c r="F5" s="53">
        <v>3</v>
      </c>
      <c r="G5" s="53">
        <v>3</v>
      </c>
      <c r="H5" s="51">
        <v>3</v>
      </c>
      <c r="I5" s="51">
        <v>3</v>
      </c>
      <c r="J5" s="53">
        <v>3</v>
      </c>
      <c r="K5" s="53">
        <v>3</v>
      </c>
      <c r="L5" s="53">
        <v>3</v>
      </c>
      <c r="M5" s="53">
        <v>3</v>
      </c>
      <c r="N5" s="51">
        <v>3</v>
      </c>
      <c r="O5" s="53">
        <v>3</v>
      </c>
      <c r="P5" s="53">
        <v>3</v>
      </c>
      <c r="Q5" s="53">
        <v>3</v>
      </c>
      <c r="R5" s="51">
        <v>3</v>
      </c>
      <c r="S5" s="53">
        <v>3</v>
      </c>
      <c r="T5" s="53">
        <v>3</v>
      </c>
      <c r="U5" s="55">
        <v>3</v>
      </c>
    </row>
    <row r="6" spans="1:21" ht="15.75" thickBot="1" x14ac:dyDescent="0.3">
      <c r="A6" s="49" t="s">
        <v>44</v>
      </c>
      <c r="B6" s="56"/>
      <c r="C6" s="51"/>
      <c r="D6" s="51"/>
      <c r="E6" s="57">
        <v>2</v>
      </c>
      <c r="F6" s="53">
        <v>2</v>
      </c>
      <c r="G6" s="53">
        <v>2</v>
      </c>
      <c r="H6" s="54">
        <v>1</v>
      </c>
      <c r="I6" s="54">
        <v>7</v>
      </c>
      <c r="J6" s="53">
        <v>7</v>
      </c>
      <c r="K6" s="53">
        <v>7</v>
      </c>
      <c r="L6" s="53">
        <v>7</v>
      </c>
      <c r="M6" s="53">
        <v>7</v>
      </c>
      <c r="N6" s="51">
        <v>7</v>
      </c>
      <c r="O6" s="53">
        <v>7</v>
      </c>
      <c r="P6" s="53">
        <v>7</v>
      </c>
      <c r="Q6" s="53">
        <v>7</v>
      </c>
      <c r="R6" s="51">
        <v>7</v>
      </c>
      <c r="S6" s="53">
        <v>7</v>
      </c>
      <c r="T6" s="53">
        <v>7</v>
      </c>
      <c r="U6" s="55">
        <v>7</v>
      </c>
    </row>
    <row r="7" spans="1:21" ht="15.75" thickBot="1" x14ac:dyDescent="0.3">
      <c r="A7" s="44" t="s">
        <v>45</v>
      </c>
      <c r="B7" s="58" t="s">
        <v>46</v>
      </c>
      <c r="C7" s="59" t="s">
        <v>46</v>
      </c>
      <c r="D7" s="59" t="s">
        <v>46</v>
      </c>
      <c r="E7" s="60" t="s">
        <v>46</v>
      </c>
      <c r="F7" s="59"/>
      <c r="G7" s="59"/>
      <c r="H7" s="59" t="s">
        <v>46</v>
      </c>
      <c r="I7" s="59" t="s">
        <v>46</v>
      </c>
      <c r="J7" s="59"/>
      <c r="K7" s="59"/>
      <c r="L7" s="59"/>
      <c r="M7" s="59"/>
      <c r="N7" s="59" t="s">
        <v>46</v>
      </c>
      <c r="O7" s="59"/>
      <c r="P7" s="59"/>
      <c r="Q7" s="59"/>
      <c r="R7" s="59" t="s">
        <v>46</v>
      </c>
      <c r="S7" s="59"/>
      <c r="T7" s="59"/>
      <c r="U7" s="60"/>
    </row>
    <row r="8" spans="1:21" ht="15.75" thickBot="1" x14ac:dyDescent="0.3">
      <c r="A8" s="43" t="s">
        <v>47</v>
      </c>
      <c r="B8" s="61"/>
      <c r="C8" s="62"/>
      <c r="D8" s="62"/>
      <c r="E8" s="63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3"/>
    </row>
    <row r="9" spans="1:21" x14ac:dyDescent="0.25">
      <c r="A9" s="56" t="s">
        <v>48</v>
      </c>
      <c r="B9" s="51" t="s">
        <v>49</v>
      </c>
    </row>
    <row r="11" spans="1:21" x14ac:dyDescent="0.25">
      <c r="A11" s="51" t="s">
        <v>50</v>
      </c>
    </row>
    <row r="12" spans="1:21" x14ac:dyDescent="0.25">
      <c r="A12" s="51" t="s">
        <v>51</v>
      </c>
    </row>
    <row r="13" spans="1:21" x14ac:dyDescent="0.25">
      <c r="A13" s="51" t="s">
        <v>52</v>
      </c>
    </row>
    <row r="14" spans="1:21" x14ac:dyDescent="0.25">
      <c r="A14" s="51" t="s">
        <v>53</v>
      </c>
    </row>
    <row r="17" spans="1:13" ht="15.75" thickBot="1" x14ac:dyDescent="0.3"/>
    <row r="18" spans="1:13" ht="15.75" thickBot="1" x14ac:dyDescent="0.3">
      <c r="A18" s="41" t="s">
        <v>38</v>
      </c>
      <c r="B18" s="137" t="s">
        <v>39</v>
      </c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</row>
    <row r="19" spans="1:13" ht="15.75" thickBot="1" x14ac:dyDescent="0.3">
      <c r="A19" s="43" t="s">
        <v>40</v>
      </c>
      <c r="B19" s="44">
        <v>1</v>
      </c>
      <c r="C19" s="45">
        <v>2</v>
      </c>
      <c r="D19" s="45">
        <v>3</v>
      </c>
      <c r="E19" s="46">
        <v>4</v>
      </c>
      <c r="F19" s="47">
        <v>1</v>
      </c>
      <c r="G19" s="47">
        <v>2</v>
      </c>
      <c r="H19" s="47">
        <v>5</v>
      </c>
      <c r="I19" s="47">
        <v>1</v>
      </c>
      <c r="J19" s="47">
        <v>2</v>
      </c>
      <c r="K19" s="47">
        <v>3</v>
      </c>
      <c r="L19" s="47">
        <v>4</v>
      </c>
      <c r="M19" s="48">
        <v>5</v>
      </c>
    </row>
    <row r="20" spans="1:13" x14ac:dyDescent="0.25">
      <c r="A20" s="49" t="s">
        <v>41</v>
      </c>
      <c r="B20" s="50">
        <v>1</v>
      </c>
      <c r="C20" s="51">
        <v>1</v>
      </c>
      <c r="D20" s="51">
        <v>1</v>
      </c>
      <c r="E20" s="52">
        <v>1</v>
      </c>
      <c r="F20" s="53">
        <v>1</v>
      </c>
      <c r="G20" s="53">
        <v>1</v>
      </c>
      <c r="H20" s="51">
        <v>1</v>
      </c>
      <c r="I20" s="53">
        <v>1</v>
      </c>
      <c r="J20" s="53">
        <v>1</v>
      </c>
      <c r="K20" s="53">
        <v>1</v>
      </c>
      <c r="L20" s="54">
        <v>4</v>
      </c>
      <c r="M20" s="55">
        <v>4</v>
      </c>
    </row>
    <row r="21" spans="1:13" x14ac:dyDescent="0.25">
      <c r="A21" s="49" t="s">
        <v>42</v>
      </c>
      <c r="B21" s="56"/>
      <c r="C21" s="54">
        <v>2</v>
      </c>
      <c r="D21" s="51">
        <v>2</v>
      </c>
      <c r="E21" s="52">
        <v>2</v>
      </c>
      <c r="F21" s="53">
        <v>2</v>
      </c>
      <c r="G21" s="53">
        <v>2</v>
      </c>
      <c r="H21" s="51">
        <v>2</v>
      </c>
      <c r="I21" s="53">
        <v>2</v>
      </c>
      <c r="J21" s="53">
        <v>2</v>
      </c>
      <c r="K21" s="53">
        <v>2</v>
      </c>
      <c r="L21" s="51">
        <v>2</v>
      </c>
      <c r="M21" s="55">
        <v>2</v>
      </c>
    </row>
    <row r="22" spans="1:13" x14ac:dyDescent="0.25">
      <c r="A22" s="49" t="s">
        <v>43</v>
      </c>
      <c r="B22" s="56"/>
      <c r="C22" s="51"/>
      <c r="D22" s="54">
        <v>3</v>
      </c>
      <c r="E22" s="52">
        <v>3</v>
      </c>
      <c r="F22" s="53">
        <v>3</v>
      </c>
      <c r="G22" s="53">
        <v>3</v>
      </c>
      <c r="H22" s="51">
        <v>3</v>
      </c>
      <c r="I22" s="53">
        <v>3</v>
      </c>
      <c r="J22" s="53">
        <v>3</v>
      </c>
      <c r="K22" s="53">
        <v>3</v>
      </c>
      <c r="L22" s="51">
        <v>3</v>
      </c>
      <c r="M22" s="55">
        <v>3</v>
      </c>
    </row>
    <row r="23" spans="1:13" ht="15.75" thickBot="1" x14ac:dyDescent="0.3">
      <c r="A23" s="49" t="s">
        <v>44</v>
      </c>
      <c r="B23" s="56"/>
      <c r="C23" s="51"/>
      <c r="D23" s="51"/>
      <c r="E23" s="57">
        <v>4</v>
      </c>
      <c r="F23" s="53">
        <v>4</v>
      </c>
      <c r="G23" s="53">
        <v>5</v>
      </c>
      <c r="H23" s="54">
        <v>5</v>
      </c>
      <c r="I23" s="53">
        <v>5</v>
      </c>
      <c r="J23" s="53">
        <v>5</v>
      </c>
      <c r="K23" s="53">
        <v>5</v>
      </c>
      <c r="L23" s="51">
        <v>5</v>
      </c>
      <c r="M23" s="55">
        <v>5</v>
      </c>
    </row>
    <row r="24" spans="1:13" ht="15.75" thickBot="1" x14ac:dyDescent="0.3">
      <c r="A24" s="44" t="s">
        <v>45</v>
      </c>
      <c r="B24" s="58" t="s">
        <v>46</v>
      </c>
      <c r="C24" s="59" t="s">
        <v>46</v>
      </c>
      <c r="D24" s="59" t="s">
        <v>46</v>
      </c>
      <c r="E24" s="60" t="s">
        <v>46</v>
      </c>
      <c r="F24" s="59"/>
      <c r="G24" s="59"/>
      <c r="H24" s="59" t="s">
        <v>46</v>
      </c>
      <c r="I24" s="59"/>
      <c r="J24" s="59"/>
      <c r="K24" s="59"/>
      <c r="L24" s="59" t="s">
        <v>46</v>
      </c>
      <c r="M24" s="60"/>
    </row>
    <row r="25" spans="1:13" ht="15.75" thickBot="1" x14ac:dyDescent="0.3">
      <c r="A25" s="43" t="s">
        <v>47</v>
      </c>
      <c r="B25" s="61"/>
      <c r="C25" s="62"/>
      <c r="D25" s="62"/>
      <c r="E25" s="63"/>
      <c r="F25" s="62"/>
      <c r="G25" s="62"/>
      <c r="H25" s="62"/>
      <c r="I25" s="62"/>
      <c r="J25" s="62"/>
      <c r="K25" s="62"/>
      <c r="L25" s="62"/>
      <c r="M25" s="63"/>
    </row>
    <row r="26" spans="1:13" x14ac:dyDescent="0.25">
      <c r="A26" s="56" t="s">
        <v>54</v>
      </c>
    </row>
    <row r="29" spans="1:13" ht="15.75" thickBot="1" x14ac:dyDescent="0.3"/>
    <row r="30" spans="1:13" ht="15.75" thickBot="1" x14ac:dyDescent="0.3">
      <c r="A30" s="41" t="s">
        <v>38</v>
      </c>
      <c r="B30" s="138" t="s">
        <v>39</v>
      </c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40"/>
    </row>
    <row r="31" spans="1:13" ht="15.75" thickBot="1" x14ac:dyDescent="0.3">
      <c r="A31" s="43" t="s">
        <v>40</v>
      </c>
      <c r="B31" s="44">
        <v>6</v>
      </c>
      <c r="C31" s="45">
        <v>8</v>
      </c>
      <c r="D31" s="46">
        <v>3</v>
      </c>
      <c r="E31" s="45">
        <v>8</v>
      </c>
      <c r="F31" s="45">
        <v>6</v>
      </c>
      <c r="G31" s="45">
        <v>0</v>
      </c>
      <c r="H31" s="45">
        <v>3</v>
      </c>
      <c r="I31" s="45">
        <v>6</v>
      </c>
      <c r="J31" s="45">
        <v>3</v>
      </c>
      <c r="K31" s="45">
        <v>5</v>
      </c>
      <c r="L31" s="45">
        <v>3</v>
      </c>
      <c r="M31" s="46">
        <v>6</v>
      </c>
    </row>
    <row r="32" spans="1:13" x14ac:dyDescent="0.25">
      <c r="A32" s="49" t="s">
        <v>41</v>
      </c>
      <c r="B32" s="50">
        <v>6</v>
      </c>
      <c r="C32" s="51">
        <v>6</v>
      </c>
      <c r="D32" s="52">
        <v>6</v>
      </c>
      <c r="E32" s="51">
        <v>6</v>
      </c>
      <c r="F32" s="53">
        <v>6</v>
      </c>
      <c r="G32" s="51">
        <v>6</v>
      </c>
      <c r="H32" s="53">
        <v>6</v>
      </c>
      <c r="I32" s="53">
        <v>6</v>
      </c>
      <c r="J32" s="53">
        <v>1</v>
      </c>
      <c r="K32" s="51">
        <v>6</v>
      </c>
      <c r="L32" s="53">
        <v>6</v>
      </c>
      <c r="M32" s="55">
        <v>6</v>
      </c>
    </row>
    <row r="33" spans="1:13" x14ac:dyDescent="0.25">
      <c r="A33" s="49" t="s">
        <v>42</v>
      </c>
      <c r="B33" s="56"/>
      <c r="C33" s="54">
        <v>8</v>
      </c>
      <c r="D33" s="52">
        <v>8</v>
      </c>
      <c r="E33" s="51">
        <v>8</v>
      </c>
      <c r="F33" s="53">
        <v>8</v>
      </c>
      <c r="G33" s="54">
        <v>0</v>
      </c>
      <c r="H33" s="53">
        <v>0</v>
      </c>
      <c r="I33" s="53">
        <v>0</v>
      </c>
      <c r="J33" s="53">
        <v>0</v>
      </c>
      <c r="K33" s="54">
        <v>5</v>
      </c>
      <c r="L33" s="53">
        <v>5</v>
      </c>
      <c r="M33" s="55">
        <v>5</v>
      </c>
    </row>
    <row r="34" spans="1:13" ht="15.75" thickBot="1" x14ac:dyDescent="0.3">
      <c r="A34" s="49" t="s">
        <v>43</v>
      </c>
      <c r="B34" s="56"/>
      <c r="C34" s="51"/>
      <c r="D34" s="57">
        <v>3</v>
      </c>
      <c r="E34" s="51">
        <v>3</v>
      </c>
      <c r="F34" s="53">
        <v>3</v>
      </c>
      <c r="G34" s="51">
        <v>3</v>
      </c>
      <c r="H34" s="53">
        <v>3</v>
      </c>
      <c r="I34" s="53">
        <v>3</v>
      </c>
      <c r="J34" s="53">
        <v>3</v>
      </c>
      <c r="K34" s="51">
        <v>3</v>
      </c>
      <c r="L34" s="53">
        <v>3</v>
      </c>
      <c r="M34" s="55">
        <v>3</v>
      </c>
    </row>
    <row r="35" spans="1:13" ht="15.75" thickBot="1" x14ac:dyDescent="0.3">
      <c r="A35" s="44" t="s">
        <v>45</v>
      </c>
      <c r="B35" s="58" t="s">
        <v>46</v>
      </c>
      <c r="C35" s="59" t="s">
        <v>46</v>
      </c>
      <c r="D35" s="60" t="s">
        <v>46</v>
      </c>
      <c r="E35" s="59"/>
      <c r="F35" s="59"/>
      <c r="G35" s="59" t="s">
        <v>46</v>
      </c>
      <c r="H35" s="59"/>
      <c r="I35" s="59"/>
      <c r="J35" s="59"/>
      <c r="K35" s="59" t="s">
        <v>46</v>
      </c>
      <c r="L35" s="59"/>
      <c r="M35" s="60"/>
    </row>
    <row r="36" spans="1:13" ht="15.75" thickBot="1" x14ac:dyDescent="0.3">
      <c r="A36" s="43" t="s">
        <v>47</v>
      </c>
      <c r="B36" s="61"/>
      <c r="C36" s="62"/>
      <c r="D36" s="63"/>
      <c r="E36" s="62"/>
      <c r="F36" s="62"/>
      <c r="G36" s="62"/>
      <c r="H36" s="62"/>
      <c r="I36" s="62"/>
      <c r="J36" s="62"/>
      <c r="K36" s="62"/>
      <c r="L36" s="62"/>
      <c r="M36" s="63"/>
    </row>
    <row r="37" spans="1:13" x14ac:dyDescent="0.25">
      <c r="A37" s="56" t="s">
        <v>55</v>
      </c>
    </row>
    <row r="38" spans="1:13" ht="15.75" thickBot="1" x14ac:dyDescent="0.3"/>
    <row r="39" spans="1:13" ht="15.75" thickBot="1" x14ac:dyDescent="0.3">
      <c r="A39" s="41" t="s">
        <v>38</v>
      </c>
      <c r="B39" s="135" t="s">
        <v>39</v>
      </c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6"/>
    </row>
    <row r="40" spans="1:13" ht="15.75" thickBot="1" x14ac:dyDescent="0.3">
      <c r="A40" s="64" t="s">
        <v>40</v>
      </c>
      <c r="B40" s="44">
        <v>6</v>
      </c>
      <c r="C40" s="45">
        <v>8</v>
      </c>
      <c r="D40" s="45">
        <v>3</v>
      </c>
      <c r="E40" s="46">
        <v>8</v>
      </c>
      <c r="F40" s="45">
        <v>6</v>
      </c>
      <c r="G40" s="45">
        <v>0</v>
      </c>
      <c r="H40" s="45">
        <v>3</v>
      </c>
      <c r="I40" s="45">
        <v>6</v>
      </c>
      <c r="J40" s="45">
        <v>3</v>
      </c>
      <c r="K40" s="45">
        <v>5</v>
      </c>
      <c r="L40" s="45">
        <v>3</v>
      </c>
      <c r="M40" s="46">
        <v>6</v>
      </c>
    </row>
    <row r="41" spans="1:13" x14ac:dyDescent="0.25">
      <c r="A41" s="65" t="s">
        <v>41</v>
      </c>
      <c r="B41" s="50">
        <v>6</v>
      </c>
      <c r="C41" s="51">
        <v>6</v>
      </c>
      <c r="D41" s="51">
        <v>6</v>
      </c>
      <c r="E41" s="52">
        <v>6</v>
      </c>
      <c r="F41" s="53">
        <v>6</v>
      </c>
      <c r="G41" s="51">
        <v>6</v>
      </c>
      <c r="H41" s="53">
        <v>6</v>
      </c>
      <c r="I41" s="53">
        <v>6</v>
      </c>
      <c r="J41" s="53">
        <v>6</v>
      </c>
      <c r="K41" s="51">
        <v>6</v>
      </c>
      <c r="L41" s="53">
        <v>6</v>
      </c>
      <c r="M41" s="55">
        <v>6</v>
      </c>
    </row>
    <row r="42" spans="1:13" x14ac:dyDescent="0.25">
      <c r="A42" s="65" t="s">
        <v>42</v>
      </c>
      <c r="B42" s="56"/>
      <c r="C42" s="54">
        <v>8</v>
      </c>
      <c r="D42" s="51">
        <v>8</v>
      </c>
      <c r="E42" s="52">
        <v>8</v>
      </c>
      <c r="F42" s="53">
        <v>8</v>
      </c>
      <c r="G42" s="54">
        <v>0</v>
      </c>
      <c r="H42" s="53">
        <v>0</v>
      </c>
      <c r="I42" s="53">
        <v>0</v>
      </c>
      <c r="J42" s="53">
        <v>0</v>
      </c>
      <c r="K42" s="54">
        <v>5</v>
      </c>
      <c r="L42" s="53">
        <v>5</v>
      </c>
      <c r="M42" s="55">
        <v>5</v>
      </c>
    </row>
    <row r="43" spans="1:13" x14ac:dyDescent="0.25">
      <c r="A43" s="65" t="s">
        <v>43</v>
      </c>
      <c r="B43" s="56"/>
      <c r="C43" s="54"/>
      <c r="D43" s="54">
        <v>3</v>
      </c>
      <c r="E43" s="52">
        <v>3</v>
      </c>
      <c r="F43" s="53">
        <v>3</v>
      </c>
      <c r="G43" s="51">
        <v>3</v>
      </c>
      <c r="H43" s="53">
        <v>3</v>
      </c>
      <c r="I43" s="53">
        <v>3</v>
      </c>
      <c r="J43" s="53">
        <v>3</v>
      </c>
      <c r="K43" s="51">
        <v>3</v>
      </c>
      <c r="L43" s="53">
        <v>3</v>
      </c>
      <c r="M43" s="55">
        <v>3</v>
      </c>
    </row>
    <row r="44" spans="1:13" ht="15.75" thickBot="1" x14ac:dyDescent="0.3">
      <c r="A44" s="65" t="s">
        <v>44</v>
      </c>
      <c r="B44" s="56"/>
      <c r="C44" s="51"/>
      <c r="D44" s="54"/>
      <c r="E44" s="57">
        <v>8</v>
      </c>
      <c r="F44" s="53">
        <v>8</v>
      </c>
      <c r="G44" s="51">
        <v>8</v>
      </c>
      <c r="H44" s="53">
        <v>8</v>
      </c>
      <c r="I44" s="53">
        <v>8</v>
      </c>
      <c r="J44" s="53">
        <v>8</v>
      </c>
      <c r="K44" s="51">
        <v>8</v>
      </c>
      <c r="L44" s="53">
        <v>8</v>
      </c>
      <c r="M44" s="55">
        <v>8</v>
      </c>
    </row>
    <row r="45" spans="1:13" ht="15.75" thickBot="1" x14ac:dyDescent="0.3">
      <c r="A45" s="41" t="s">
        <v>45</v>
      </c>
      <c r="B45" s="58" t="s">
        <v>46</v>
      </c>
      <c r="C45" s="59" t="s">
        <v>46</v>
      </c>
      <c r="D45" s="59" t="s">
        <v>46</v>
      </c>
      <c r="E45" s="60" t="s">
        <v>46</v>
      </c>
      <c r="F45" s="59"/>
      <c r="G45" s="59" t="s">
        <v>46</v>
      </c>
      <c r="H45" s="59"/>
      <c r="I45" s="59"/>
      <c r="J45" s="59"/>
      <c r="K45" s="59" t="s">
        <v>46</v>
      </c>
      <c r="L45" s="59"/>
      <c r="M45" s="60"/>
    </row>
    <row r="46" spans="1:13" ht="15.75" thickBot="1" x14ac:dyDescent="0.3">
      <c r="A46" s="41" t="s">
        <v>47</v>
      </c>
      <c r="B46" s="66"/>
      <c r="C46" s="67"/>
      <c r="D46" s="67"/>
      <c r="E46" s="68"/>
      <c r="F46" s="67"/>
      <c r="G46" s="67"/>
      <c r="H46" s="67"/>
      <c r="I46" s="67"/>
      <c r="J46" s="67"/>
      <c r="K46" s="67"/>
      <c r="L46" s="67"/>
      <c r="M46" s="68"/>
    </row>
    <row r="47" spans="1:13" x14ac:dyDescent="0.25">
      <c r="A47" s="65" t="s">
        <v>56</v>
      </c>
    </row>
    <row r="54" spans="1:13" ht="15.75" thickBot="1" x14ac:dyDescent="0.3"/>
    <row r="55" spans="1:13" ht="15.75" thickBot="1" x14ac:dyDescent="0.3">
      <c r="A55" s="41" t="s">
        <v>38</v>
      </c>
      <c r="B55" s="137" t="s">
        <v>39</v>
      </c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6"/>
    </row>
    <row r="56" spans="1:13" ht="15.75" thickBot="1" x14ac:dyDescent="0.3">
      <c r="A56" s="43" t="s">
        <v>40</v>
      </c>
      <c r="B56" s="44">
        <v>1</v>
      </c>
      <c r="C56" s="45">
        <v>2</v>
      </c>
      <c r="D56" s="45">
        <v>3</v>
      </c>
      <c r="E56" s="46">
        <v>4</v>
      </c>
      <c r="F56" s="47">
        <v>1</v>
      </c>
      <c r="G56" s="47">
        <v>2</v>
      </c>
      <c r="H56" s="47">
        <v>5</v>
      </c>
      <c r="I56" s="47">
        <v>1</v>
      </c>
      <c r="J56" s="47">
        <v>2</v>
      </c>
      <c r="K56" s="47">
        <v>3</v>
      </c>
      <c r="L56" s="47">
        <v>4</v>
      </c>
      <c r="M56" s="48">
        <v>5</v>
      </c>
    </row>
    <row r="57" spans="1:13" x14ac:dyDescent="0.25">
      <c r="A57" s="49" t="s">
        <v>41</v>
      </c>
      <c r="B57" s="50">
        <v>1</v>
      </c>
      <c r="C57" s="51">
        <v>1</v>
      </c>
      <c r="D57" s="51">
        <v>1</v>
      </c>
      <c r="E57" s="52">
        <v>1</v>
      </c>
      <c r="F57" s="53">
        <v>1</v>
      </c>
      <c r="G57" s="53">
        <v>1</v>
      </c>
      <c r="H57" s="51">
        <v>1</v>
      </c>
      <c r="I57" s="53">
        <v>1</v>
      </c>
      <c r="J57" s="53">
        <v>1</v>
      </c>
      <c r="K57" s="53">
        <v>1</v>
      </c>
      <c r="L57" s="54">
        <v>4</v>
      </c>
      <c r="M57" s="55">
        <v>4</v>
      </c>
    </row>
    <row r="58" spans="1:13" x14ac:dyDescent="0.25">
      <c r="A58" s="49" t="s">
        <v>42</v>
      </c>
      <c r="B58" s="56"/>
      <c r="C58" s="54">
        <v>2</v>
      </c>
      <c r="D58" s="51">
        <v>2</v>
      </c>
      <c r="E58" s="52">
        <v>2</v>
      </c>
      <c r="F58" s="53">
        <v>2</v>
      </c>
      <c r="G58" s="53">
        <v>2</v>
      </c>
      <c r="H58" s="51">
        <v>2</v>
      </c>
      <c r="I58" s="53">
        <v>2</v>
      </c>
      <c r="J58" s="53">
        <v>2</v>
      </c>
      <c r="K58" s="53">
        <v>2</v>
      </c>
      <c r="L58" s="51">
        <v>2</v>
      </c>
      <c r="M58" s="55">
        <v>2</v>
      </c>
    </row>
    <row r="59" spans="1:13" x14ac:dyDescent="0.25">
      <c r="A59" s="49" t="s">
        <v>43</v>
      </c>
      <c r="B59" s="56"/>
      <c r="C59" s="51"/>
      <c r="D59" s="54">
        <v>3</v>
      </c>
      <c r="E59" s="52">
        <v>3</v>
      </c>
      <c r="F59" s="53">
        <v>3</v>
      </c>
      <c r="G59" s="53">
        <v>3</v>
      </c>
      <c r="H59" s="51">
        <v>3</v>
      </c>
      <c r="I59" s="53">
        <v>3</v>
      </c>
      <c r="J59" s="53">
        <v>3</v>
      </c>
      <c r="K59" s="53">
        <v>3</v>
      </c>
      <c r="L59" s="51">
        <v>3</v>
      </c>
      <c r="M59" s="55">
        <v>3</v>
      </c>
    </row>
    <row r="60" spans="1:13" ht="15.75" thickBot="1" x14ac:dyDescent="0.3">
      <c r="A60" s="49" t="s">
        <v>44</v>
      </c>
      <c r="B60" s="56"/>
      <c r="C60" s="51"/>
      <c r="D60" s="51"/>
      <c r="E60" s="57">
        <v>4</v>
      </c>
      <c r="F60" s="53">
        <v>4</v>
      </c>
      <c r="G60" s="53">
        <v>5</v>
      </c>
      <c r="H60" s="54">
        <v>5</v>
      </c>
      <c r="I60" s="53">
        <v>5</v>
      </c>
      <c r="J60" s="53">
        <v>5</v>
      </c>
      <c r="K60" s="53">
        <v>5</v>
      </c>
      <c r="L60" s="51">
        <v>5</v>
      </c>
      <c r="M60" s="55">
        <v>5</v>
      </c>
    </row>
    <row r="61" spans="1:13" ht="15.75" thickBot="1" x14ac:dyDescent="0.3">
      <c r="A61" s="44" t="s">
        <v>45</v>
      </c>
      <c r="B61" s="58" t="s">
        <v>46</v>
      </c>
      <c r="C61" s="59" t="s">
        <v>46</v>
      </c>
      <c r="D61" s="59" t="s">
        <v>46</v>
      </c>
      <c r="E61" s="60" t="s">
        <v>46</v>
      </c>
      <c r="F61" s="59"/>
      <c r="G61" s="59"/>
      <c r="H61" s="59" t="s">
        <v>46</v>
      </c>
      <c r="I61" s="59"/>
      <c r="J61" s="59"/>
      <c r="K61" s="59"/>
      <c r="L61" s="59" t="s">
        <v>46</v>
      </c>
      <c r="M61" s="60"/>
    </row>
    <row r="62" spans="1:13" ht="15.75" thickBot="1" x14ac:dyDescent="0.3">
      <c r="A62" s="43" t="s">
        <v>47</v>
      </c>
      <c r="B62" s="61"/>
      <c r="C62" s="62"/>
      <c r="D62" s="62"/>
      <c r="E62" s="63"/>
      <c r="F62" s="62"/>
      <c r="G62" s="62"/>
      <c r="H62" s="62"/>
      <c r="I62" s="62"/>
      <c r="J62" s="62"/>
      <c r="K62" s="62"/>
      <c r="L62" s="62"/>
      <c r="M62" s="63"/>
    </row>
  </sheetData>
  <mergeCells count="5">
    <mergeCell ref="B1:U1"/>
    <mergeCell ref="B18:M18"/>
    <mergeCell ref="B30:M30"/>
    <mergeCell ref="B39:M39"/>
    <mergeCell ref="B55:M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43A7-3C68-4A67-85A5-D0EBAD617F93}">
  <dimension ref="A1:U24"/>
  <sheetViews>
    <sheetView workbookViewId="0"/>
  </sheetViews>
  <sheetFormatPr defaultRowHeight="15" x14ac:dyDescent="0.25"/>
  <cols>
    <col min="1" max="1" width="21.42578125" bestFit="1" customWidth="1"/>
  </cols>
  <sheetData>
    <row r="1" spans="1:21" ht="15.75" thickBot="1" x14ac:dyDescent="0.3">
      <c r="A1" s="41" t="s">
        <v>38</v>
      </c>
      <c r="B1" s="135" t="s">
        <v>39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6"/>
    </row>
    <row r="2" spans="1:21" ht="15.75" thickBot="1" x14ac:dyDescent="0.3">
      <c r="A2" s="43" t="s">
        <v>40</v>
      </c>
      <c r="B2" s="44">
        <v>5</v>
      </c>
      <c r="C2" s="45">
        <v>4</v>
      </c>
      <c r="D2" s="45">
        <v>3</v>
      </c>
      <c r="E2" s="46">
        <v>2</v>
      </c>
      <c r="F2" s="47">
        <v>4</v>
      </c>
      <c r="G2" s="47">
        <v>5</v>
      </c>
      <c r="H2" s="47">
        <v>1</v>
      </c>
      <c r="I2" s="47">
        <v>7</v>
      </c>
      <c r="J2" s="47">
        <v>4</v>
      </c>
      <c r="K2" s="47">
        <v>5</v>
      </c>
      <c r="L2" s="47">
        <v>4</v>
      </c>
      <c r="M2" s="47">
        <v>3</v>
      </c>
      <c r="N2" s="47">
        <v>6</v>
      </c>
      <c r="O2" s="47">
        <v>7</v>
      </c>
      <c r="P2" s="47">
        <v>3</v>
      </c>
      <c r="Q2" s="47">
        <v>4</v>
      </c>
      <c r="R2" s="47">
        <v>5</v>
      </c>
      <c r="S2" s="47">
        <v>4</v>
      </c>
      <c r="T2" s="47">
        <v>3</v>
      </c>
      <c r="U2" s="48">
        <v>7</v>
      </c>
    </row>
    <row r="3" spans="1:21" x14ac:dyDescent="0.25">
      <c r="A3" s="49" t="s">
        <v>41</v>
      </c>
      <c r="B3" s="50">
        <v>5</v>
      </c>
      <c r="C3" s="51">
        <v>5</v>
      </c>
      <c r="D3" s="51">
        <v>5</v>
      </c>
      <c r="E3" s="52">
        <v>5</v>
      </c>
      <c r="F3" s="53">
        <v>5</v>
      </c>
      <c r="G3" s="53">
        <v>5</v>
      </c>
      <c r="H3" s="54">
        <v>1</v>
      </c>
      <c r="I3" s="51">
        <v>1</v>
      </c>
      <c r="J3" s="51">
        <v>1</v>
      </c>
      <c r="K3" s="51">
        <v>1</v>
      </c>
      <c r="L3" s="53">
        <v>1</v>
      </c>
      <c r="M3" s="54">
        <v>3</v>
      </c>
      <c r="N3" s="69">
        <v>3</v>
      </c>
      <c r="O3" s="51">
        <v>3</v>
      </c>
      <c r="P3" s="53">
        <v>3</v>
      </c>
      <c r="Q3" s="69">
        <v>3</v>
      </c>
      <c r="R3" s="54">
        <v>5</v>
      </c>
      <c r="S3" s="53">
        <v>5</v>
      </c>
      <c r="T3" s="51">
        <v>5</v>
      </c>
      <c r="U3" s="55">
        <v>5</v>
      </c>
    </row>
    <row r="4" spans="1:21" x14ac:dyDescent="0.25">
      <c r="A4" s="49" t="s">
        <v>42</v>
      </c>
      <c r="B4" s="56"/>
      <c r="C4" s="54">
        <v>4</v>
      </c>
      <c r="D4" s="51">
        <v>4</v>
      </c>
      <c r="E4" s="52">
        <v>4</v>
      </c>
      <c r="F4" s="53">
        <v>4</v>
      </c>
      <c r="G4" s="53">
        <v>4</v>
      </c>
      <c r="H4" s="51">
        <v>4</v>
      </c>
      <c r="I4" s="54">
        <v>7</v>
      </c>
      <c r="J4" s="51">
        <v>7</v>
      </c>
      <c r="K4" s="51">
        <v>7</v>
      </c>
      <c r="L4" s="53">
        <v>7</v>
      </c>
      <c r="M4" s="51">
        <v>7</v>
      </c>
      <c r="N4" s="54">
        <v>6</v>
      </c>
      <c r="O4" s="51">
        <v>6</v>
      </c>
      <c r="P4" s="53">
        <v>6</v>
      </c>
      <c r="Q4" s="69">
        <v>6</v>
      </c>
      <c r="R4" s="51">
        <v>6</v>
      </c>
      <c r="S4" s="53">
        <v>6</v>
      </c>
      <c r="T4" s="54">
        <v>3</v>
      </c>
      <c r="U4" s="55">
        <v>3</v>
      </c>
    </row>
    <row r="5" spans="1:21" x14ac:dyDescent="0.25">
      <c r="A5" s="49" t="s">
        <v>43</v>
      </c>
      <c r="B5" s="56"/>
      <c r="C5" s="51"/>
      <c r="D5" s="54">
        <v>3</v>
      </c>
      <c r="E5" s="52">
        <v>3</v>
      </c>
      <c r="F5" s="53">
        <v>3</v>
      </c>
      <c r="G5" s="53">
        <v>3</v>
      </c>
      <c r="H5" s="51">
        <v>3</v>
      </c>
      <c r="I5" s="51">
        <v>3</v>
      </c>
      <c r="J5" s="54">
        <v>4</v>
      </c>
      <c r="K5" s="51">
        <v>4</v>
      </c>
      <c r="L5" s="53">
        <v>4</v>
      </c>
      <c r="M5" s="51">
        <v>4</v>
      </c>
      <c r="N5" s="51">
        <v>4</v>
      </c>
      <c r="O5" s="54">
        <v>7</v>
      </c>
      <c r="P5" s="53">
        <v>7</v>
      </c>
      <c r="Q5" s="69">
        <v>7</v>
      </c>
      <c r="R5" s="51">
        <v>7</v>
      </c>
      <c r="S5" s="53">
        <v>7</v>
      </c>
      <c r="T5" s="51">
        <v>7</v>
      </c>
      <c r="U5" s="55">
        <v>7</v>
      </c>
    </row>
    <row r="6" spans="1:21" ht="15.75" thickBot="1" x14ac:dyDescent="0.3">
      <c r="A6" s="49" t="s">
        <v>44</v>
      </c>
      <c r="B6" s="56"/>
      <c r="C6" s="51"/>
      <c r="D6" s="51"/>
      <c r="E6" s="57">
        <v>2</v>
      </c>
      <c r="F6" s="53">
        <v>2</v>
      </c>
      <c r="G6" s="53">
        <v>2</v>
      </c>
      <c r="H6" s="51">
        <v>2</v>
      </c>
      <c r="I6" s="51">
        <v>2</v>
      </c>
      <c r="J6" s="51">
        <v>2</v>
      </c>
      <c r="K6" s="54">
        <v>5</v>
      </c>
      <c r="L6" s="53">
        <v>5</v>
      </c>
      <c r="M6" s="51">
        <v>5</v>
      </c>
      <c r="N6" s="51">
        <v>5</v>
      </c>
      <c r="O6" s="51">
        <v>5</v>
      </c>
      <c r="P6" s="53">
        <v>5</v>
      </c>
      <c r="Q6" s="54">
        <v>4</v>
      </c>
      <c r="R6" s="51">
        <v>4</v>
      </c>
      <c r="S6" s="53">
        <v>4</v>
      </c>
      <c r="T6" s="51">
        <v>4</v>
      </c>
      <c r="U6" s="55">
        <v>4</v>
      </c>
    </row>
    <row r="7" spans="1:21" ht="15.75" thickBot="1" x14ac:dyDescent="0.3">
      <c r="A7" s="44" t="s">
        <v>45</v>
      </c>
      <c r="B7" s="58" t="s">
        <v>46</v>
      </c>
      <c r="C7" s="59" t="s">
        <v>46</v>
      </c>
      <c r="D7" s="59" t="s">
        <v>46</v>
      </c>
      <c r="E7" s="60" t="s">
        <v>46</v>
      </c>
      <c r="F7" s="59"/>
      <c r="G7" s="59"/>
      <c r="H7" s="59" t="s">
        <v>46</v>
      </c>
      <c r="I7" s="59" t="s">
        <v>46</v>
      </c>
      <c r="J7" s="59" t="s">
        <v>46</v>
      </c>
      <c r="K7" s="59" t="s">
        <v>46</v>
      </c>
      <c r="L7" s="59"/>
      <c r="M7" s="59" t="s">
        <v>46</v>
      </c>
      <c r="N7" s="59" t="s">
        <v>46</v>
      </c>
      <c r="O7" s="59" t="s">
        <v>46</v>
      </c>
      <c r="P7" s="59"/>
      <c r="Q7" s="59" t="s">
        <v>46</v>
      </c>
      <c r="R7" s="59" t="s">
        <v>46</v>
      </c>
      <c r="S7" s="59"/>
      <c r="T7" s="59" t="s">
        <v>46</v>
      </c>
      <c r="U7" s="60"/>
    </row>
    <row r="8" spans="1:21" ht="15.75" thickBot="1" x14ac:dyDescent="0.3">
      <c r="A8" s="43" t="s">
        <v>57</v>
      </c>
      <c r="B8" s="70">
        <v>5</v>
      </c>
      <c r="C8" s="71">
        <v>4</v>
      </c>
      <c r="D8" s="71">
        <v>3</v>
      </c>
      <c r="E8" s="72">
        <v>2</v>
      </c>
      <c r="F8" s="71">
        <v>1</v>
      </c>
      <c r="G8" s="71">
        <v>7</v>
      </c>
      <c r="H8" s="71">
        <v>4</v>
      </c>
      <c r="I8" s="71">
        <v>5</v>
      </c>
      <c r="J8" s="71">
        <v>3</v>
      </c>
      <c r="K8" s="71">
        <v>6</v>
      </c>
      <c r="L8" s="71">
        <v>7</v>
      </c>
      <c r="M8" s="71">
        <v>4</v>
      </c>
      <c r="N8" s="71">
        <v>5</v>
      </c>
      <c r="O8" s="71">
        <v>3</v>
      </c>
      <c r="P8" s="73"/>
      <c r="Q8" s="73"/>
      <c r="R8" s="73"/>
      <c r="S8" s="73"/>
      <c r="T8" s="73"/>
      <c r="U8" s="74"/>
    </row>
    <row r="9" spans="1:21" ht="15.75" thickBot="1" x14ac:dyDescent="0.3">
      <c r="A9" s="43" t="s">
        <v>47</v>
      </c>
      <c r="B9" s="61"/>
      <c r="C9" s="62"/>
      <c r="D9" s="62"/>
      <c r="E9" s="63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3"/>
    </row>
    <row r="10" spans="1:21" x14ac:dyDescent="0.25">
      <c r="A10" s="56" t="s">
        <v>58</v>
      </c>
    </row>
    <row r="15" spans="1:21" ht="15.75" thickBot="1" x14ac:dyDescent="0.3"/>
    <row r="16" spans="1:21" ht="15.75" thickBot="1" x14ac:dyDescent="0.3">
      <c r="A16" s="41" t="s">
        <v>38</v>
      </c>
      <c r="B16" s="139" t="s">
        <v>39</v>
      </c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40"/>
    </row>
    <row r="17" spans="1:21" ht="15.75" thickBot="1" x14ac:dyDescent="0.3">
      <c r="A17" s="43" t="s">
        <v>40</v>
      </c>
      <c r="B17" s="44">
        <v>5</v>
      </c>
      <c r="C17" s="45">
        <v>4</v>
      </c>
      <c r="D17" s="45">
        <v>3</v>
      </c>
      <c r="E17" s="45">
        <v>2</v>
      </c>
      <c r="F17" s="45">
        <v>4</v>
      </c>
      <c r="G17" s="45">
        <v>5</v>
      </c>
      <c r="H17" s="45">
        <v>1</v>
      </c>
      <c r="I17" s="45">
        <v>7</v>
      </c>
      <c r="J17" s="45">
        <v>4</v>
      </c>
      <c r="K17" s="45">
        <v>5</v>
      </c>
      <c r="L17" s="45">
        <v>4</v>
      </c>
      <c r="M17" s="45">
        <v>3</v>
      </c>
      <c r="N17" s="45">
        <v>6</v>
      </c>
      <c r="O17" s="45">
        <v>7</v>
      </c>
      <c r="P17" s="45">
        <v>3</v>
      </c>
      <c r="Q17" s="45">
        <v>4</v>
      </c>
      <c r="R17" s="45">
        <v>5</v>
      </c>
      <c r="S17" s="45">
        <v>4</v>
      </c>
      <c r="T17" s="45">
        <v>3</v>
      </c>
      <c r="U17" s="46">
        <v>7</v>
      </c>
    </row>
    <row r="18" spans="1:21" x14ac:dyDescent="0.25">
      <c r="A18" s="49" t="s">
        <v>41</v>
      </c>
      <c r="B18" s="50">
        <v>5</v>
      </c>
      <c r="C18" s="51">
        <v>5</v>
      </c>
      <c r="D18" s="52">
        <v>5</v>
      </c>
      <c r="E18" s="54">
        <v>2</v>
      </c>
      <c r="F18" s="53">
        <v>2</v>
      </c>
      <c r="G18" s="51">
        <v>2</v>
      </c>
      <c r="H18" s="51">
        <v>2</v>
      </c>
      <c r="I18" s="54">
        <v>7</v>
      </c>
      <c r="J18" s="51">
        <v>7</v>
      </c>
      <c r="K18" s="51">
        <v>7</v>
      </c>
      <c r="L18" s="53">
        <v>7</v>
      </c>
      <c r="M18" s="54">
        <v>3</v>
      </c>
      <c r="N18" s="69">
        <v>3</v>
      </c>
      <c r="O18" s="51">
        <v>3</v>
      </c>
      <c r="P18" s="53">
        <v>3</v>
      </c>
      <c r="Q18" s="54">
        <v>4</v>
      </c>
      <c r="R18" s="51">
        <v>4</v>
      </c>
      <c r="S18">
        <v>4</v>
      </c>
      <c r="T18" s="51">
        <v>4</v>
      </c>
      <c r="U18" s="57">
        <v>7</v>
      </c>
    </row>
    <row r="19" spans="1:21" x14ac:dyDescent="0.25">
      <c r="A19" s="49" t="s">
        <v>42</v>
      </c>
      <c r="B19" s="56"/>
      <c r="C19" s="54">
        <v>4</v>
      </c>
      <c r="D19" s="52">
        <v>4</v>
      </c>
      <c r="E19" s="51">
        <v>4</v>
      </c>
      <c r="F19" s="53">
        <v>4</v>
      </c>
      <c r="G19" s="54">
        <v>5</v>
      </c>
      <c r="H19" s="51">
        <v>5</v>
      </c>
      <c r="I19" s="51">
        <v>5</v>
      </c>
      <c r="J19" s="54">
        <v>4</v>
      </c>
      <c r="K19" s="51">
        <v>4</v>
      </c>
      <c r="L19" s="53">
        <v>4</v>
      </c>
      <c r="M19" s="51">
        <v>4</v>
      </c>
      <c r="N19" s="54">
        <v>6</v>
      </c>
      <c r="O19" s="51">
        <v>6</v>
      </c>
      <c r="P19" s="53">
        <v>6</v>
      </c>
      <c r="Q19" s="51">
        <v>6</v>
      </c>
      <c r="R19" s="54">
        <v>5</v>
      </c>
      <c r="S19">
        <v>5</v>
      </c>
      <c r="T19" s="51">
        <v>5</v>
      </c>
      <c r="U19" s="52">
        <v>5</v>
      </c>
    </row>
    <row r="20" spans="1:21" ht="15.75" thickBot="1" x14ac:dyDescent="0.3">
      <c r="A20" s="49" t="s">
        <v>43</v>
      </c>
      <c r="B20" s="56"/>
      <c r="C20" s="51"/>
      <c r="D20" s="57">
        <v>3</v>
      </c>
      <c r="E20" s="51">
        <v>3</v>
      </c>
      <c r="F20" s="53">
        <v>3</v>
      </c>
      <c r="G20" s="51">
        <v>3</v>
      </c>
      <c r="H20" s="54">
        <v>1</v>
      </c>
      <c r="I20" s="51">
        <v>1</v>
      </c>
      <c r="J20" s="51">
        <v>1</v>
      </c>
      <c r="K20" s="54">
        <v>5</v>
      </c>
      <c r="L20" s="53">
        <v>5</v>
      </c>
      <c r="M20" s="51">
        <v>5</v>
      </c>
      <c r="N20" s="51">
        <v>5</v>
      </c>
      <c r="O20" s="54">
        <v>7</v>
      </c>
      <c r="P20" s="53">
        <v>7</v>
      </c>
      <c r="Q20" s="69">
        <v>7</v>
      </c>
      <c r="R20" s="51">
        <v>7</v>
      </c>
      <c r="S20">
        <v>7</v>
      </c>
      <c r="T20" s="54">
        <v>3</v>
      </c>
      <c r="U20" s="52">
        <v>3</v>
      </c>
    </row>
    <row r="21" spans="1:21" ht="15.75" thickBot="1" x14ac:dyDescent="0.3">
      <c r="A21" s="44" t="s">
        <v>45</v>
      </c>
      <c r="B21" s="58" t="s">
        <v>46</v>
      </c>
      <c r="C21" s="59" t="s">
        <v>46</v>
      </c>
      <c r="D21" s="60" t="s">
        <v>46</v>
      </c>
      <c r="E21" s="59" t="s">
        <v>46</v>
      </c>
      <c r="F21" s="59"/>
      <c r="G21" s="59" t="s">
        <v>46</v>
      </c>
      <c r="H21" s="59" t="s">
        <v>46</v>
      </c>
      <c r="I21" s="59" t="s">
        <v>46</v>
      </c>
      <c r="J21" s="59" t="s">
        <v>46</v>
      </c>
      <c r="K21" s="59" t="s">
        <v>46</v>
      </c>
      <c r="L21" s="59"/>
      <c r="M21" s="59" t="s">
        <v>46</v>
      </c>
      <c r="N21" s="59" t="s">
        <v>46</v>
      </c>
      <c r="O21" s="59" t="s">
        <v>46</v>
      </c>
      <c r="P21" s="59"/>
      <c r="Q21" s="59" t="s">
        <v>46</v>
      </c>
      <c r="R21" s="59" t="s">
        <v>46</v>
      </c>
      <c r="S21" s="59"/>
      <c r="T21" s="59" t="s">
        <v>46</v>
      </c>
      <c r="U21" s="60"/>
    </row>
    <row r="22" spans="1:21" ht="15.75" thickBot="1" x14ac:dyDescent="0.3">
      <c r="A22" s="43" t="s">
        <v>57</v>
      </c>
      <c r="B22" s="75">
        <v>5</v>
      </c>
      <c r="C22" s="76">
        <v>4</v>
      </c>
      <c r="D22" s="77">
        <v>3</v>
      </c>
      <c r="E22" s="76">
        <v>2</v>
      </c>
      <c r="F22" s="76">
        <v>1</v>
      </c>
      <c r="G22" s="76">
        <v>7</v>
      </c>
      <c r="H22" s="76">
        <v>4</v>
      </c>
      <c r="I22" s="76">
        <v>5</v>
      </c>
      <c r="J22" s="76">
        <v>3</v>
      </c>
      <c r="K22" s="76">
        <v>6</v>
      </c>
      <c r="L22" s="76">
        <v>7</v>
      </c>
      <c r="M22" s="76">
        <v>4</v>
      </c>
      <c r="N22" s="76">
        <v>5</v>
      </c>
      <c r="O22" s="76">
        <v>3</v>
      </c>
      <c r="P22" s="59"/>
      <c r="Q22" s="59"/>
      <c r="R22" s="59"/>
      <c r="S22" s="59"/>
      <c r="T22" s="59"/>
      <c r="U22" s="60"/>
    </row>
    <row r="23" spans="1:21" ht="15.75" thickBot="1" x14ac:dyDescent="0.3">
      <c r="A23" s="43" t="s">
        <v>47</v>
      </c>
      <c r="B23" s="66"/>
      <c r="C23" s="67"/>
      <c r="D23" s="68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8"/>
    </row>
    <row r="24" spans="1:21" x14ac:dyDescent="0.25">
      <c r="A24" s="56" t="s">
        <v>58</v>
      </c>
    </row>
  </sheetData>
  <mergeCells count="2">
    <mergeCell ref="B1:U1"/>
    <mergeCell ref="B16:U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87A6-979E-4048-B0A7-87087E5CE37B}">
  <dimension ref="A1:U9"/>
  <sheetViews>
    <sheetView workbookViewId="0">
      <selection activeCell="A9" sqref="A9"/>
    </sheetView>
  </sheetViews>
  <sheetFormatPr defaultRowHeight="15" x14ac:dyDescent="0.25"/>
  <cols>
    <col min="1" max="1" width="20.28515625" bestFit="1" customWidth="1"/>
  </cols>
  <sheetData>
    <row r="1" spans="1:21" ht="15.75" thickBot="1" x14ac:dyDescent="0.3">
      <c r="A1" s="41" t="s">
        <v>38</v>
      </c>
      <c r="B1" s="135" t="s">
        <v>39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6"/>
    </row>
    <row r="2" spans="1:21" ht="15.75" thickBot="1" x14ac:dyDescent="0.3">
      <c r="A2" s="43" t="s">
        <v>40</v>
      </c>
      <c r="B2" s="44">
        <v>5</v>
      </c>
      <c r="C2" s="45">
        <v>4</v>
      </c>
      <c r="D2" s="45">
        <v>3</v>
      </c>
      <c r="E2" s="46">
        <v>2</v>
      </c>
      <c r="F2" s="47">
        <v>4</v>
      </c>
      <c r="G2" s="47">
        <v>5</v>
      </c>
      <c r="H2" s="47">
        <v>1</v>
      </c>
      <c r="I2" s="47">
        <v>7</v>
      </c>
      <c r="J2" s="47">
        <v>4</v>
      </c>
      <c r="K2" s="47">
        <v>5</v>
      </c>
      <c r="L2" s="47">
        <v>4</v>
      </c>
      <c r="M2" s="47">
        <v>3</v>
      </c>
      <c r="N2" s="47">
        <v>6</v>
      </c>
      <c r="O2" s="47">
        <v>7</v>
      </c>
      <c r="P2" s="47">
        <v>3</v>
      </c>
      <c r="Q2" s="47">
        <v>4</v>
      </c>
      <c r="R2" s="47">
        <v>5</v>
      </c>
      <c r="S2" s="47">
        <v>4</v>
      </c>
      <c r="T2" s="47">
        <v>3</v>
      </c>
      <c r="U2" s="48">
        <v>7</v>
      </c>
    </row>
    <row r="3" spans="1:21" x14ac:dyDescent="0.25">
      <c r="A3" s="49" t="s">
        <v>41</v>
      </c>
      <c r="B3" s="50">
        <v>5</v>
      </c>
      <c r="C3" s="51">
        <v>5</v>
      </c>
      <c r="D3" s="51">
        <v>5</v>
      </c>
      <c r="E3" s="52">
        <v>5</v>
      </c>
      <c r="F3" s="53">
        <v>5</v>
      </c>
      <c r="G3" s="53">
        <v>5</v>
      </c>
      <c r="H3" s="51">
        <v>5</v>
      </c>
      <c r="I3" s="51">
        <v>5</v>
      </c>
      <c r="J3" s="78">
        <v>5</v>
      </c>
      <c r="K3" s="78">
        <v>5</v>
      </c>
      <c r="L3" s="78">
        <v>5</v>
      </c>
      <c r="M3" s="51">
        <v>5</v>
      </c>
      <c r="N3" s="69">
        <v>5</v>
      </c>
      <c r="O3" s="54">
        <v>7</v>
      </c>
      <c r="P3" s="53">
        <v>7</v>
      </c>
      <c r="Q3" s="78">
        <v>7</v>
      </c>
      <c r="R3" s="54">
        <v>7</v>
      </c>
      <c r="S3" s="53">
        <v>7</v>
      </c>
      <c r="T3" s="78">
        <v>7</v>
      </c>
      <c r="U3" s="55">
        <v>7</v>
      </c>
    </row>
    <row r="4" spans="1:21" x14ac:dyDescent="0.25">
      <c r="A4" s="49" t="s">
        <v>42</v>
      </c>
      <c r="B4" s="56"/>
      <c r="C4" s="54">
        <v>4</v>
      </c>
      <c r="D4" s="51">
        <v>4</v>
      </c>
      <c r="E4" s="52">
        <v>4</v>
      </c>
      <c r="F4" s="53">
        <v>4</v>
      </c>
      <c r="G4" s="53">
        <v>4</v>
      </c>
      <c r="H4" s="51">
        <v>4</v>
      </c>
      <c r="I4" s="51">
        <v>4</v>
      </c>
      <c r="J4" s="78">
        <v>4</v>
      </c>
      <c r="K4" s="78">
        <v>4</v>
      </c>
      <c r="L4" s="78">
        <v>4</v>
      </c>
      <c r="M4" s="51">
        <v>4</v>
      </c>
      <c r="N4" s="51">
        <v>4</v>
      </c>
      <c r="O4" s="51">
        <v>4</v>
      </c>
      <c r="P4" s="53">
        <v>4</v>
      </c>
      <c r="Q4" s="78">
        <v>4</v>
      </c>
      <c r="R4" s="51">
        <v>4</v>
      </c>
      <c r="S4" s="53">
        <v>4</v>
      </c>
      <c r="T4" s="78">
        <v>4</v>
      </c>
      <c r="U4" s="55">
        <v>4</v>
      </c>
    </row>
    <row r="5" spans="1:21" x14ac:dyDescent="0.25">
      <c r="A5" s="49" t="s">
        <v>43</v>
      </c>
      <c r="B5" s="56"/>
      <c r="C5" s="51"/>
      <c r="D5" s="54">
        <v>3</v>
      </c>
      <c r="E5" s="52">
        <v>3</v>
      </c>
      <c r="F5" s="53">
        <v>3</v>
      </c>
      <c r="G5" s="53">
        <v>3</v>
      </c>
      <c r="H5" s="54">
        <v>1</v>
      </c>
      <c r="I5" s="51">
        <v>1</v>
      </c>
      <c r="J5" s="78">
        <v>1</v>
      </c>
      <c r="K5" s="78">
        <v>1</v>
      </c>
      <c r="L5" s="78">
        <v>1</v>
      </c>
      <c r="M5" s="54">
        <v>3</v>
      </c>
      <c r="N5" s="51">
        <v>3</v>
      </c>
      <c r="O5" s="51">
        <v>3</v>
      </c>
      <c r="P5" s="53">
        <v>3</v>
      </c>
      <c r="Q5" s="78">
        <v>3</v>
      </c>
      <c r="R5" s="51">
        <v>3</v>
      </c>
      <c r="S5" s="53">
        <v>3</v>
      </c>
      <c r="T5" s="78">
        <v>3</v>
      </c>
      <c r="U5" s="55">
        <v>3</v>
      </c>
    </row>
    <row r="6" spans="1:21" ht="15.75" thickBot="1" x14ac:dyDescent="0.3">
      <c r="A6" s="49" t="s">
        <v>44</v>
      </c>
      <c r="B6" s="56"/>
      <c r="C6" s="51"/>
      <c r="D6" s="51"/>
      <c r="E6" s="57">
        <v>2</v>
      </c>
      <c r="F6" s="53">
        <v>2</v>
      </c>
      <c r="G6" s="53">
        <v>2</v>
      </c>
      <c r="H6" s="51">
        <v>2</v>
      </c>
      <c r="I6" s="54">
        <v>7</v>
      </c>
      <c r="J6" s="78">
        <v>7</v>
      </c>
      <c r="K6" s="78">
        <v>7</v>
      </c>
      <c r="L6" s="78">
        <v>7</v>
      </c>
      <c r="M6" s="51">
        <v>7</v>
      </c>
      <c r="N6" s="54">
        <v>6</v>
      </c>
      <c r="O6" s="51">
        <v>6</v>
      </c>
      <c r="P6" s="53">
        <v>6</v>
      </c>
      <c r="Q6" s="78">
        <v>6</v>
      </c>
      <c r="R6" s="51">
        <v>5</v>
      </c>
      <c r="S6" s="53">
        <v>5</v>
      </c>
      <c r="T6" s="78">
        <v>5</v>
      </c>
      <c r="U6" s="55">
        <v>5</v>
      </c>
    </row>
    <row r="7" spans="1:21" ht="15.75" thickBot="1" x14ac:dyDescent="0.3">
      <c r="A7" s="44" t="s">
        <v>45</v>
      </c>
      <c r="B7" s="58" t="s">
        <v>46</v>
      </c>
      <c r="C7" s="59" t="s">
        <v>46</v>
      </c>
      <c r="D7" s="59" t="s">
        <v>46</v>
      </c>
      <c r="E7" s="60" t="s">
        <v>46</v>
      </c>
      <c r="F7" s="59"/>
      <c r="G7" s="59"/>
      <c r="H7" s="59" t="s">
        <v>46</v>
      </c>
      <c r="I7" s="59" t="s">
        <v>46</v>
      </c>
      <c r="J7" s="59"/>
      <c r="K7" s="59"/>
      <c r="L7" s="59"/>
      <c r="M7" s="59" t="s">
        <v>46</v>
      </c>
      <c r="N7" s="59" t="s">
        <v>46</v>
      </c>
      <c r="O7" s="59" t="s">
        <v>46</v>
      </c>
      <c r="P7" s="59"/>
      <c r="Q7" s="59"/>
      <c r="R7" s="59" t="s">
        <v>46</v>
      </c>
      <c r="S7" s="59"/>
      <c r="T7" s="59"/>
      <c r="U7" s="60"/>
    </row>
    <row r="8" spans="1:21" ht="15.75" thickBot="1" x14ac:dyDescent="0.3">
      <c r="A8" s="43"/>
      <c r="B8" s="61"/>
      <c r="C8" s="62"/>
      <c r="D8" s="62"/>
      <c r="E8" s="63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3"/>
    </row>
    <row r="9" spans="1:21" x14ac:dyDescent="0.25">
      <c r="A9" s="56" t="s">
        <v>59</v>
      </c>
    </row>
  </sheetData>
  <mergeCells count="1">
    <mergeCell ref="B1:U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C2BD-FE30-4C06-8313-729F69DA1BAE}">
  <dimension ref="A1:R9"/>
  <sheetViews>
    <sheetView workbookViewId="0">
      <selection activeCell="A9" sqref="A9"/>
    </sheetView>
  </sheetViews>
  <sheetFormatPr defaultRowHeight="15" x14ac:dyDescent="0.25"/>
  <cols>
    <col min="1" max="1" width="14" bestFit="1" customWidth="1"/>
  </cols>
  <sheetData>
    <row r="1" spans="1:18" ht="15.75" thickBot="1" x14ac:dyDescent="0.3">
      <c r="A1" s="41" t="s">
        <v>38</v>
      </c>
      <c r="B1" s="137" t="s">
        <v>39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6"/>
    </row>
    <row r="2" spans="1:18" ht="15.75" thickBot="1" x14ac:dyDescent="0.3">
      <c r="A2" s="43" t="s">
        <v>40</v>
      </c>
      <c r="B2" s="44">
        <v>5</v>
      </c>
      <c r="C2" s="45">
        <v>4</v>
      </c>
      <c r="D2" s="45">
        <v>3</v>
      </c>
      <c r="E2" s="46">
        <v>2</v>
      </c>
      <c r="F2" s="44">
        <v>4</v>
      </c>
      <c r="G2" s="45">
        <v>5</v>
      </c>
      <c r="H2" s="42" t="s">
        <v>60</v>
      </c>
      <c r="I2" s="45"/>
      <c r="J2" s="45"/>
      <c r="K2" s="45"/>
      <c r="L2" s="45">
        <v>7</v>
      </c>
      <c r="M2" s="45">
        <v>3</v>
      </c>
      <c r="N2" s="45">
        <v>4</v>
      </c>
      <c r="O2" s="45"/>
      <c r="P2" s="45">
        <v>5</v>
      </c>
      <c r="Q2" s="45"/>
      <c r="R2" s="46"/>
    </row>
    <row r="3" spans="1:18" x14ac:dyDescent="0.25">
      <c r="A3" s="49" t="s">
        <v>41</v>
      </c>
      <c r="B3" s="79">
        <v>5.0999999999999996</v>
      </c>
      <c r="C3" s="80">
        <v>5.0999999999999996</v>
      </c>
      <c r="D3" s="80">
        <v>5.0999999999999996</v>
      </c>
      <c r="E3" s="81">
        <v>5.0999999999999996</v>
      </c>
      <c r="F3" s="82">
        <v>5.0999999999999996</v>
      </c>
      <c r="G3" s="78">
        <v>5.0999999999999996</v>
      </c>
      <c r="H3" s="83">
        <v>5</v>
      </c>
      <c r="I3" s="84">
        <v>5</v>
      </c>
      <c r="J3" s="84">
        <v>5</v>
      </c>
      <c r="K3" s="84">
        <v>5</v>
      </c>
      <c r="L3" s="54">
        <v>1.1000000000000001</v>
      </c>
      <c r="M3" s="51">
        <v>1.1000000000000001</v>
      </c>
      <c r="N3" s="69">
        <v>1.1000000000000001</v>
      </c>
      <c r="O3" s="54">
        <v>1.1000000000000001</v>
      </c>
      <c r="P3" s="85">
        <v>1</v>
      </c>
      <c r="Q3" s="86">
        <v>1</v>
      </c>
      <c r="R3" s="87">
        <v>1</v>
      </c>
    </row>
    <row r="4" spans="1:18" x14ac:dyDescent="0.25">
      <c r="A4" s="49" t="s">
        <v>42</v>
      </c>
      <c r="B4" s="56"/>
      <c r="C4" s="54">
        <v>4.0999999999999996</v>
      </c>
      <c r="D4" s="51">
        <v>4.0999999999999996</v>
      </c>
      <c r="E4" s="52">
        <v>4.0999999999999996</v>
      </c>
      <c r="F4" s="82">
        <v>4.0999999999999996</v>
      </c>
      <c r="G4" s="78">
        <v>4.0999999999999996</v>
      </c>
      <c r="H4" s="51">
        <v>4.0999999999999996</v>
      </c>
      <c r="I4" s="84">
        <v>4</v>
      </c>
      <c r="J4" s="84">
        <v>4</v>
      </c>
      <c r="K4" s="84">
        <v>4</v>
      </c>
      <c r="L4" s="84">
        <v>7.1</v>
      </c>
      <c r="M4" s="51">
        <v>7.1</v>
      </c>
      <c r="N4" s="51">
        <v>7.1</v>
      </c>
      <c r="O4" s="51">
        <v>7.1</v>
      </c>
      <c r="P4" s="53">
        <v>7.1</v>
      </c>
      <c r="Q4" s="86">
        <v>7</v>
      </c>
      <c r="R4" s="52">
        <v>7.1</v>
      </c>
    </row>
    <row r="5" spans="1:18" x14ac:dyDescent="0.25">
      <c r="A5" s="49" t="s">
        <v>43</v>
      </c>
      <c r="B5" s="56"/>
      <c r="C5" s="51"/>
      <c r="D5" s="54">
        <v>3.1</v>
      </c>
      <c r="E5" s="52">
        <v>3.1</v>
      </c>
      <c r="F5" s="82">
        <v>3.1</v>
      </c>
      <c r="G5" s="78">
        <v>3.1</v>
      </c>
      <c r="H5" s="88">
        <v>3.1</v>
      </c>
      <c r="I5" s="88">
        <v>3.1</v>
      </c>
      <c r="J5" s="83">
        <v>3</v>
      </c>
      <c r="K5" s="86">
        <v>3</v>
      </c>
      <c r="L5" s="86">
        <v>3</v>
      </c>
      <c r="M5" s="83">
        <v>3.1</v>
      </c>
      <c r="N5" s="84">
        <v>3</v>
      </c>
      <c r="O5" s="83">
        <v>3</v>
      </c>
      <c r="P5" s="85">
        <v>3</v>
      </c>
      <c r="Q5" s="86">
        <v>3</v>
      </c>
      <c r="R5" s="52">
        <v>5.0999999999999996</v>
      </c>
    </row>
    <row r="6" spans="1:18" ht="15.75" thickBot="1" x14ac:dyDescent="0.3">
      <c r="A6" s="49" t="s">
        <v>44</v>
      </c>
      <c r="B6" s="43"/>
      <c r="C6" s="47"/>
      <c r="D6" s="47"/>
      <c r="E6" s="89">
        <v>2.1</v>
      </c>
      <c r="F6" s="82">
        <v>2.1</v>
      </c>
      <c r="G6" s="78">
        <v>2.1</v>
      </c>
      <c r="H6" s="84">
        <v>2.1</v>
      </c>
      <c r="I6" s="84">
        <v>2.1</v>
      </c>
      <c r="J6" s="86">
        <v>2</v>
      </c>
      <c r="K6" s="86">
        <v>2</v>
      </c>
      <c r="L6" s="86">
        <v>2</v>
      </c>
      <c r="M6" s="84">
        <v>2</v>
      </c>
      <c r="N6" s="84">
        <v>2</v>
      </c>
      <c r="O6" s="84">
        <v>4.0999999999999996</v>
      </c>
      <c r="P6" s="85">
        <v>4.0999999999999996</v>
      </c>
      <c r="Q6" s="78">
        <v>4.0999999999999996</v>
      </c>
      <c r="R6" s="52">
        <v>4.0999999999999996</v>
      </c>
    </row>
    <row r="7" spans="1:18" ht="15.75" thickBot="1" x14ac:dyDescent="0.3">
      <c r="A7" s="44" t="s">
        <v>45</v>
      </c>
      <c r="B7" s="58" t="s">
        <v>46</v>
      </c>
      <c r="C7" s="59" t="s">
        <v>46</v>
      </c>
      <c r="D7" s="59" t="s">
        <v>46</v>
      </c>
      <c r="E7" s="60" t="s">
        <v>46</v>
      </c>
      <c r="F7" s="58"/>
      <c r="G7" s="59"/>
      <c r="H7" s="59" t="s">
        <v>46</v>
      </c>
      <c r="I7" s="59" t="s">
        <v>46</v>
      </c>
      <c r="J7" s="59"/>
      <c r="K7" s="59"/>
      <c r="L7" s="59"/>
      <c r="M7" s="59" t="s">
        <v>46</v>
      </c>
      <c r="N7" s="59" t="s">
        <v>46</v>
      </c>
      <c r="O7" s="59" t="s">
        <v>46</v>
      </c>
      <c r="P7" s="59"/>
      <c r="Q7" s="59"/>
      <c r="R7" s="60" t="s">
        <v>46</v>
      </c>
    </row>
    <row r="8" spans="1:18" ht="15.75" thickBot="1" x14ac:dyDescent="0.3">
      <c r="A8" s="43"/>
      <c r="B8" s="61"/>
      <c r="C8" s="62"/>
      <c r="D8" s="62"/>
      <c r="E8" s="63"/>
      <c r="F8" s="61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3"/>
    </row>
    <row r="9" spans="1:18" x14ac:dyDescent="0.25">
      <c r="A9" s="56" t="s">
        <v>59</v>
      </c>
    </row>
  </sheetData>
  <mergeCells count="1">
    <mergeCell ref="B1:R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AC83-E15E-4692-B37C-A4E7ABBA5FDB}">
  <dimension ref="A1:U9"/>
  <sheetViews>
    <sheetView workbookViewId="0">
      <selection activeCell="D27" sqref="D27"/>
    </sheetView>
  </sheetViews>
  <sheetFormatPr defaultRowHeight="15" x14ac:dyDescent="0.25"/>
  <cols>
    <col min="1" max="1" width="14" bestFit="1" customWidth="1"/>
  </cols>
  <sheetData>
    <row r="1" spans="1:21" ht="15.75" thickBot="1" x14ac:dyDescent="0.3">
      <c r="A1" s="41" t="s">
        <v>38</v>
      </c>
      <c r="B1" s="137" t="s">
        <v>39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6"/>
    </row>
    <row r="2" spans="1:21" ht="15.75" thickBot="1" x14ac:dyDescent="0.3">
      <c r="A2" s="43" t="s">
        <v>40</v>
      </c>
      <c r="B2" s="43">
        <v>5</v>
      </c>
      <c r="C2" s="47">
        <v>4</v>
      </c>
      <c r="D2" s="47">
        <v>3</v>
      </c>
      <c r="E2" s="48">
        <v>2</v>
      </c>
      <c r="F2" s="51">
        <v>4</v>
      </c>
      <c r="G2" s="51">
        <v>5</v>
      </c>
      <c r="H2" s="51">
        <v>1</v>
      </c>
      <c r="I2" s="51">
        <v>7</v>
      </c>
      <c r="J2" s="51">
        <v>4</v>
      </c>
      <c r="K2" s="51">
        <v>5</v>
      </c>
      <c r="L2" s="51">
        <v>4</v>
      </c>
      <c r="M2" s="51">
        <v>3</v>
      </c>
      <c r="N2" s="51">
        <v>6</v>
      </c>
      <c r="O2" s="51">
        <v>7</v>
      </c>
      <c r="P2" s="51">
        <v>3</v>
      </c>
      <c r="Q2" s="51">
        <v>4</v>
      </c>
      <c r="R2" s="51">
        <v>5</v>
      </c>
      <c r="S2" s="51">
        <v>4</v>
      </c>
      <c r="T2" s="51">
        <v>3</v>
      </c>
      <c r="U2" s="52">
        <v>7</v>
      </c>
    </row>
    <row r="3" spans="1:21" x14ac:dyDescent="0.25">
      <c r="A3" s="49" t="s">
        <v>41</v>
      </c>
      <c r="B3" s="79">
        <v>5</v>
      </c>
      <c r="C3" s="80">
        <v>5</v>
      </c>
      <c r="D3" s="80">
        <v>5</v>
      </c>
      <c r="E3" s="80">
        <v>5</v>
      </c>
      <c r="F3" s="91">
        <v>5</v>
      </c>
      <c r="G3" s="92">
        <v>5</v>
      </c>
      <c r="H3" s="95">
        <v>5</v>
      </c>
      <c r="I3" s="94">
        <v>5</v>
      </c>
      <c r="J3" s="107">
        <v>5</v>
      </c>
      <c r="K3" s="107">
        <v>5</v>
      </c>
      <c r="L3" s="107">
        <v>5</v>
      </c>
      <c r="M3" s="107">
        <v>5</v>
      </c>
      <c r="N3" s="93">
        <v>6</v>
      </c>
      <c r="O3" s="110">
        <v>6</v>
      </c>
      <c r="P3" s="111">
        <v>6</v>
      </c>
      <c r="Q3" s="111">
        <v>6</v>
      </c>
      <c r="R3" s="110">
        <v>6</v>
      </c>
      <c r="S3" s="111">
        <v>6</v>
      </c>
      <c r="T3" s="111">
        <v>6</v>
      </c>
      <c r="U3" s="112">
        <v>6</v>
      </c>
    </row>
    <row r="4" spans="1:21" x14ac:dyDescent="0.25">
      <c r="A4" s="49" t="s">
        <v>42</v>
      </c>
      <c r="B4" s="56"/>
      <c r="C4" s="54">
        <v>4</v>
      </c>
      <c r="D4" s="51">
        <v>4</v>
      </c>
      <c r="E4" s="51">
        <v>4</v>
      </c>
      <c r="F4" s="96">
        <v>4</v>
      </c>
      <c r="G4" s="97">
        <v>4</v>
      </c>
      <c r="H4" s="106">
        <v>4</v>
      </c>
      <c r="I4" s="98">
        <v>4</v>
      </c>
      <c r="J4" s="108">
        <v>4</v>
      </c>
      <c r="K4" s="108">
        <v>4</v>
      </c>
      <c r="L4" s="108">
        <v>4</v>
      </c>
      <c r="M4" s="108">
        <v>4</v>
      </c>
      <c r="N4" s="98">
        <v>4</v>
      </c>
      <c r="O4" s="113">
        <v>4</v>
      </c>
      <c r="P4" s="114">
        <v>4</v>
      </c>
      <c r="Q4" s="114">
        <v>4</v>
      </c>
      <c r="R4" s="113">
        <v>4</v>
      </c>
      <c r="S4" s="113">
        <v>4</v>
      </c>
      <c r="T4" s="113">
        <v>4</v>
      </c>
      <c r="U4" s="115">
        <v>4</v>
      </c>
    </row>
    <row r="5" spans="1:21" x14ac:dyDescent="0.25">
      <c r="A5" s="49" t="s">
        <v>43</v>
      </c>
      <c r="B5" s="56"/>
      <c r="C5" s="51"/>
      <c r="D5" s="54">
        <v>3</v>
      </c>
      <c r="E5" s="51">
        <v>3</v>
      </c>
      <c r="F5" s="96">
        <v>3</v>
      </c>
      <c r="G5" s="97">
        <v>3</v>
      </c>
      <c r="H5" s="106">
        <v>3</v>
      </c>
      <c r="I5" s="99">
        <v>3</v>
      </c>
      <c r="J5" s="108">
        <v>3</v>
      </c>
      <c r="K5" s="109">
        <v>3</v>
      </c>
      <c r="L5" s="109">
        <v>3</v>
      </c>
      <c r="M5" s="108">
        <v>3</v>
      </c>
      <c r="N5" s="98">
        <v>3</v>
      </c>
      <c r="O5" s="113">
        <v>3</v>
      </c>
      <c r="P5" s="114">
        <v>3</v>
      </c>
      <c r="Q5" s="114">
        <v>3</v>
      </c>
      <c r="R5" s="113">
        <v>3</v>
      </c>
      <c r="S5" s="114">
        <v>3</v>
      </c>
      <c r="T5" s="114">
        <v>3</v>
      </c>
      <c r="U5" s="116">
        <v>3</v>
      </c>
    </row>
    <row r="6" spans="1:21" ht="15.75" thickBot="1" x14ac:dyDescent="0.3">
      <c r="A6" s="49" t="s">
        <v>44</v>
      </c>
      <c r="B6" s="43"/>
      <c r="C6" s="47"/>
      <c r="D6" s="47"/>
      <c r="E6" s="90">
        <v>2</v>
      </c>
      <c r="F6" s="96">
        <v>2</v>
      </c>
      <c r="G6" s="97">
        <v>2</v>
      </c>
      <c r="H6" s="100">
        <v>1</v>
      </c>
      <c r="I6" s="100">
        <v>7</v>
      </c>
      <c r="J6" s="109">
        <v>7</v>
      </c>
      <c r="K6" s="109">
        <v>7</v>
      </c>
      <c r="L6" s="109">
        <v>7</v>
      </c>
      <c r="M6" s="108">
        <v>7</v>
      </c>
      <c r="N6" s="98">
        <v>7</v>
      </c>
      <c r="O6" s="113">
        <v>7</v>
      </c>
      <c r="P6" s="114">
        <v>7</v>
      </c>
      <c r="Q6" s="114">
        <v>7</v>
      </c>
      <c r="R6" s="113">
        <v>7</v>
      </c>
      <c r="S6" s="113">
        <v>7</v>
      </c>
      <c r="T6" s="113">
        <v>7</v>
      </c>
      <c r="U6" s="115">
        <v>7</v>
      </c>
    </row>
    <row r="7" spans="1:21" ht="15.75" thickBot="1" x14ac:dyDescent="0.3">
      <c r="A7" s="44" t="s">
        <v>45</v>
      </c>
      <c r="B7" s="58" t="s">
        <v>46</v>
      </c>
      <c r="C7" s="59" t="s">
        <v>46</v>
      </c>
      <c r="D7" s="59" t="s">
        <v>46</v>
      </c>
      <c r="E7" s="59" t="s">
        <v>46</v>
      </c>
      <c r="F7" s="101"/>
      <c r="G7" s="102"/>
      <c r="H7" s="102" t="s">
        <v>46</v>
      </c>
      <c r="I7" s="102" t="s">
        <v>46</v>
      </c>
      <c r="J7" s="102"/>
      <c r="K7" s="102"/>
      <c r="L7" s="102"/>
      <c r="M7" s="102"/>
      <c r="N7" s="102" t="s">
        <v>46</v>
      </c>
      <c r="O7" s="117"/>
      <c r="P7" s="117"/>
      <c r="Q7" s="117"/>
      <c r="R7" s="117"/>
      <c r="S7" s="118"/>
      <c r="T7" s="118"/>
      <c r="U7" s="119"/>
    </row>
    <row r="8" spans="1:21" ht="15.75" thickBot="1" x14ac:dyDescent="0.3">
      <c r="A8" s="43"/>
      <c r="B8" s="61"/>
      <c r="C8" s="62"/>
      <c r="D8" s="62"/>
      <c r="E8" s="62"/>
      <c r="F8" s="103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5"/>
    </row>
    <row r="9" spans="1:21" x14ac:dyDescent="0.25">
      <c r="A9" s="56" t="s">
        <v>61</v>
      </c>
    </row>
  </sheetData>
  <mergeCells count="1">
    <mergeCell ref="B1:U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44AD4-B865-436C-94C6-DD304A9C8A38}">
  <dimension ref="A1:C6"/>
  <sheetViews>
    <sheetView tabSelected="1" workbookViewId="0">
      <selection activeCell="A2" sqref="A2:B6"/>
    </sheetView>
  </sheetViews>
  <sheetFormatPr defaultRowHeight="15" x14ac:dyDescent="0.25"/>
  <cols>
    <col min="1" max="1" width="17.140625" customWidth="1"/>
    <col min="3" max="3" width="34.7109375" customWidth="1"/>
  </cols>
  <sheetData>
    <row r="1" spans="1:3" ht="15.75" thickBot="1" x14ac:dyDescent="0.3"/>
    <row r="2" spans="1:3" ht="30" customHeight="1" thickBot="1" x14ac:dyDescent="0.3">
      <c r="A2" s="124" t="s">
        <v>31</v>
      </c>
      <c r="B2" s="124" t="s">
        <v>62</v>
      </c>
      <c r="C2" s="123" t="s">
        <v>63</v>
      </c>
    </row>
    <row r="3" spans="1:3" ht="30" customHeight="1" x14ac:dyDescent="0.25">
      <c r="A3" s="125" t="s">
        <v>64</v>
      </c>
      <c r="B3" s="128">
        <v>14</v>
      </c>
      <c r="C3" s="120" t="s">
        <v>65</v>
      </c>
    </row>
    <row r="4" spans="1:3" ht="30" customHeight="1" x14ac:dyDescent="0.25">
      <c r="A4" s="126" t="s">
        <v>66</v>
      </c>
      <c r="B4" s="129">
        <v>12</v>
      </c>
      <c r="C4" s="121" t="s">
        <v>67</v>
      </c>
    </row>
    <row r="5" spans="1:3" ht="30" customHeight="1" x14ac:dyDescent="0.25">
      <c r="A5" s="126" t="s">
        <v>68</v>
      </c>
      <c r="B5" s="129">
        <v>13</v>
      </c>
      <c r="C5" s="121" t="s">
        <v>69</v>
      </c>
    </row>
    <row r="6" spans="1:3" ht="30" customHeight="1" thickBot="1" x14ac:dyDescent="0.3">
      <c r="A6" s="127" t="s">
        <v>47</v>
      </c>
      <c r="B6" s="130">
        <v>9</v>
      </c>
      <c r="C6" s="122" t="s"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7</vt:i4>
      </vt:variant>
    </vt:vector>
  </HeadingPairs>
  <TitlesOfParts>
    <vt:vector size="7" baseType="lpstr">
      <vt:lpstr>1.task</vt:lpstr>
      <vt:lpstr>2.task</vt:lpstr>
      <vt:lpstr>FIFO</vt:lpstr>
      <vt:lpstr>LRU</vt:lpstr>
      <vt:lpstr>SC</vt:lpstr>
      <vt:lpstr>OPT</vt:lpstr>
      <vt:lpstr>Összehasonlítás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Péter Anita</dc:creator>
  <cp:lastModifiedBy>Zoltán Feke</cp:lastModifiedBy>
  <dcterms:created xsi:type="dcterms:W3CDTF">2015-06-05T18:19:34Z</dcterms:created>
  <dcterms:modified xsi:type="dcterms:W3CDTF">2026-04-29T13:30:06Z</dcterms:modified>
</cp:coreProperties>
</file>